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 FIRST" sheetId="1" state="visible" r:id="rId1"/>
    <sheet name="App Config" sheetId="2" state="visible" r:id="rId2"/>
    <sheet name="Quick Player Ratings" sheetId="3" state="visible" r:id="rId3"/>
    <sheet name="Rating Normalization" sheetId="4" state="visible" r:id="rId4"/>
    <sheet name="Team Assignments" sheetId="5" state="visible" r:id="rId5"/>
    <sheet name="Team Ratings" sheetId="6" state="visible" r:id="rId6"/>
    <sheet name="Schedule &amp; Results" sheetId="7" state="visible" r:id="rId7"/>
    <sheet name="Box Scores" sheetId="8" state="visible" r:id="rId8"/>
    <sheet name="Participants" sheetId="9" state="visible" r:id="rId9"/>
    <sheet name="Bets" sheetId="10" state="visible" r:id="rId10"/>
    <sheet name="Bet Legs" sheetId="11" state="visible" r:id="rId11"/>
    <sheet name="Betting Leaderboard" sheetId="12" state="visible" r:id="rId12"/>
    <sheet name="Player Leaderboard" sheetId="13" state="visible" r:id="rId13"/>
    <sheet name="Game Rosters" sheetId="14" state="visible" r:id="rId14"/>
  </sheets>
  <definedNames>
    <definedName name="_xlnm._FilterDatabase" localSheetId="1" hidden="1">'App Config'!$A$1:$D$1</definedName>
    <definedName name="_xlnm._FilterDatabase" localSheetId="2" hidden="1">'Quick Player Ratings'!$A$2:$Q$15</definedName>
    <definedName name="_xlnm._FilterDatabase" localSheetId="3" hidden="1">'Rating Normalization'!$A$1:$G$1</definedName>
    <definedName name="_xlnm._FilterDatabase" localSheetId="4" hidden="1">'Team Assignments'!$A$1:$F$25</definedName>
    <definedName name="_xlnm._FilterDatabase" localSheetId="5" hidden="1">'Team Ratings'!$A$1:$J$7</definedName>
    <definedName name="_xlnm._FilterDatabase" localSheetId="6" hidden="1">'Schedule &amp; Results'!$A$1:$N$1</definedName>
    <definedName name="_xlnm._FilterDatabase" localSheetId="7" hidden="1">'Box Scores'!$A$1:$L$1</definedName>
    <definedName name="_xlnm._FilterDatabase" localSheetId="8" hidden="1">'Participants'!$A$1:$D$1</definedName>
    <definedName name="_xlnm._FilterDatabase" localSheetId="9" hidden="1">'Bets'!$A$1:$M$1</definedName>
    <definedName name="_xlnm._FilterDatabase" localSheetId="10" hidden="1">'Bet Legs'!$A$1:$M$1</definedName>
    <definedName name="_xlnm._FilterDatabase" localSheetId="11" hidden="1">'Betting Leaderboard'!$A$1:$F$1</definedName>
    <definedName name="_xlnm._FilterDatabase" localSheetId="12" hidden="1">'Player Leaderboard'!$A$1:$G$1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olor theme="1"/>
      <sz val="11"/>
      <scheme val="minor"/>
    </font>
    <font>
      <name val="Calibri"/>
      <b val="1"/>
      <color rgb="FF1F4E78"/>
      <sz val="18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9C0006"/>
      <sz val="11"/>
    </font>
    <font/>
    <font>
      <name val="Calibri"/>
      <color theme="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</font>
  </fonts>
  <fills count="13">
    <fill>
      <patternFill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548235"/>
        <bgColor rgb="FF548235"/>
      </patternFill>
    </fill>
    <fill>
      <patternFill patternType="solid">
        <fgColor rgb="FF1F4E78"/>
        <bgColor rgb="FF1F4E78"/>
      </patternFill>
    </fill>
    <fill>
      <patternFill patternType="solid">
        <fgColor rgb="FFFFD966"/>
        <bgColor rgb="FFFFD966"/>
      </patternFill>
    </fill>
    <fill>
      <patternFill patternType="solid">
        <fgColor rgb="FFE2F0D9"/>
        <bgColor rgb="FFE2F0D9"/>
      </patternFill>
    </fill>
    <fill>
      <patternFill patternType="solid">
        <fgColor rgb="00FFF2A8"/>
      </patternFill>
    </fill>
    <fill>
      <patternFill patternType="solid">
        <fgColor rgb="002E5BFF"/>
      </patternFill>
    </fill>
    <fill>
      <patternFill patternType="solid">
        <fgColor rgb="00172033"/>
      </patternFill>
    </fill>
    <fill>
      <patternFill patternType="solid">
        <fgColor rgb="00D9EAD3"/>
      </patternFill>
    </fill>
    <fill>
      <patternFill patternType="solid">
        <fgColor rgb="00DCE6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00D7DCE5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2" fillId="4" borderId="2" applyAlignment="1" pivotButton="0" quotePrefix="0" xfId="0">
      <alignment horizont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4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164" fontId="3" fillId="7" borderId="1" pivotButton="0" quotePrefix="0" xfId="0"/>
    <xf numFmtId="9" fontId="3" fillId="7" borderId="1" pivotButton="0" quotePrefix="0" xfId="0"/>
    <xf numFmtId="0" fontId="3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pivotButton="0" quotePrefix="0" xfId="0"/>
    <xf numFmtId="0" fontId="9" fillId="9" borderId="0" pivotButton="0" quotePrefix="0" xfId="0"/>
    <xf numFmtId="0" fontId="10" fillId="12" borderId="0" pivotButton="0" quotePrefix="0" xfId="0"/>
    <xf numFmtId="0" fontId="8" fillId="10" borderId="7" applyAlignment="1" pivotButton="0" quotePrefix="0" xfId="0">
      <alignment horizontal="center" vertical="center" wrapText="1"/>
    </xf>
    <xf numFmtId="0" fontId="0" fillId="8" borderId="0" pivotButton="0" quotePrefix="0" xfId="0"/>
    <xf numFmtId="0" fontId="7" fillId="9" borderId="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3" fillId="8" borderId="1" applyAlignment="1" pivotButton="0" quotePrefix="0" xfId="0">
      <alignment vertical="top"/>
    </xf>
    <xf numFmtId="0" fontId="3" fillId="0" borderId="7" applyAlignment="1" pivotButton="0" quotePrefix="0" xfId="0">
      <alignment vertical="center" wrapText="1"/>
    </xf>
    <xf numFmtId="2" fontId="3" fillId="7" borderId="7" applyAlignment="1" pivotButton="0" quotePrefix="0" xfId="0">
      <alignment vertical="center" wrapText="1"/>
    </xf>
    <xf numFmtId="0" fontId="0" fillId="11" borderId="0" pivotButton="0" quotePrefix="0" xfId="0"/>
    <xf numFmtId="0" fontId="8" fillId="1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9" min="1" max="1"/>
    <col width="100" customWidth="1" style="19" min="2" max="2"/>
    <col width="8.710000000000001" customWidth="1" style="19" min="3" max="26"/>
  </cols>
  <sheetData>
    <row r="1">
      <c r="A1" s="20" t="inlineStr">
        <is>
          <t>SHARED APP CONTROL CENTER</t>
        </is>
      </c>
    </row>
    <row r="4">
      <c r="A4" s="2" t="inlineStr">
        <is>
          <t>What to do</t>
        </is>
      </c>
      <c r="B4" s="3" t="inlineStr">
        <is>
          <t>Go to the Quick Player Ratings tab and fill only the yellow cells.</t>
        </is>
      </c>
    </row>
    <row r="5">
      <c r="A5" s="4" t="inlineStr">
        <is>
          <t>Time target</t>
        </is>
      </c>
      <c r="B5" s="3" t="inlineStr">
        <is>
          <t>Spend 15–20 minutes total. Use gut feel. Do not overthink exact numbers.</t>
        </is>
      </c>
    </row>
    <row r="6">
      <c r="A6" s="4" t="inlineStr">
        <is>
          <t>Rating scale</t>
        </is>
      </c>
      <c r="B6" s="3" t="inlineStr">
        <is>
          <t>1 = weakest in this group, 5 = average in this group, 10 = best in this group.</t>
        </is>
      </c>
    </row>
    <row r="7">
      <c r="A7" s="4" t="inlineStr">
        <is>
          <t>Minimum if rushed</t>
        </is>
      </c>
      <c r="B7" s="3" t="inlineStr">
        <is>
          <t>Fill Overall Talent, Scoring, Defense, and Rebounding / Size first. Those are the most important.</t>
        </is>
      </c>
    </row>
    <row r="8">
      <c r="A8" s="4" t="inlineStr">
        <is>
          <t>Optional but useful</t>
        </is>
      </c>
      <c r="B8" s="3" t="inlineStr">
        <is>
          <t>Shooting, Playmaking / Handle, Stamina, Confidence, and Friend Notes.</t>
        </is>
      </c>
    </row>
    <row r="9">
      <c r="A9" s="4" t="inlineStr">
        <is>
          <t>Brad</t>
        </is>
      </c>
      <c r="B9" s="3" t="inlineStr">
        <is>
          <t>Mark Active? as Maybe or No if injury status is uncertain. Still rate his expected ability if he plays.</t>
        </is>
      </c>
    </row>
    <row r="10">
      <c r="A10" s="4" t="inlineStr">
        <is>
          <t>Berler/Jason</t>
        </is>
      </c>
      <c r="B10" s="3" t="inlineStr">
        <is>
          <t>Use the Berler/Jason row as the combined rotating-sub slot for team ratings. Individual Berler and Jason rows can be used later for player props.</t>
        </is>
      </c>
    </row>
    <row r="11">
      <c r="A11" s="4" t="inlineStr">
        <is>
          <t>Do not edit</t>
        </is>
      </c>
      <c r="B11" s="3" t="inlineStr">
        <is>
          <t>Green cells are formulas. Leave them alone.</t>
        </is>
      </c>
    </row>
    <row r="13">
      <c r="A13" s="21" t="inlineStr">
        <is>
          <t>Brad status</t>
        </is>
      </c>
      <c r="B13" s="0" t="inlineStr">
        <is>
          <t>Set App Config!B2 to TRUE or FALSE. The app uses this as the shared scenario.</t>
        </is>
      </c>
    </row>
    <row r="14">
      <c r="A14" s="21" t="inlineStr">
        <is>
          <t>Before each game</t>
        </is>
      </c>
      <c r="B14" s="0" t="inlineStr">
        <is>
          <t>Set Schedule &amp; Results status and Betting Locked?; use FINAL only after scores and box scores are checked.</t>
        </is>
      </c>
    </row>
    <row r="15">
      <c r="A15" s="21" t="inlineStr">
        <is>
          <t>Official scores</t>
        </is>
      </c>
      <c r="B15" s="0" t="inlineStr">
        <is>
          <t>Enter team scores in Schedule &amp; Results, then mark Final? TRUE.</t>
        </is>
      </c>
    </row>
    <row r="16">
      <c r="A16" s="21" t="inlineStr">
        <is>
          <t>Official box scores</t>
        </is>
      </c>
      <c r="B16" s="0" t="inlineStr">
        <is>
          <t>In Box Scores, use the active scenario rows, mark Played? TRUE, and enter PTS/REB/AST/3PM.</t>
        </is>
      </c>
    </row>
    <row r="17">
      <c r="A17" s="21" t="inlineStr">
        <is>
          <t>Bets</t>
        </is>
      </c>
      <c r="B17" s="0" t="inlineStr">
        <is>
          <t>Do not hand-edit Bets or Bet Legs after Apps Script setup; the app appends ticket snapshots.</t>
        </is>
      </c>
    </row>
    <row r="18">
      <c r="A18" s="21" t="inlineStr">
        <is>
          <t>Leaderboards</t>
        </is>
      </c>
      <c r="B18" s="0" t="inlineStr">
        <is>
          <t>Betting Leaderboard and Player Leaderboard derive from the raw Bets and Box Scores tabs.</t>
        </is>
      </c>
    </row>
    <row r="19">
      <c r="A19" s="21" t="inlineStr">
        <is>
          <t>Yellow cells</t>
        </is>
      </c>
      <c r="B19" s="0" t="inlineStr">
        <is>
          <t>Organizer/scorekeeper inputs. Dark headers and calculated cells should not be edited.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19" min="1" max="1"/>
    <col width="42" customWidth="1" style="19" min="2" max="2"/>
    <col width="70" customWidth="1" style="19" min="3" max="3"/>
    <col width="24" customWidth="1" style="19" min="4" max="4"/>
  </cols>
  <sheetData>
    <row r="1" ht="30" customHeight="1" s="19">
      <c r="A1" s="22" t="inlineStr">
        <is>
          <t>Key</t>
        </is>
      </c>
      <c r="B1" s="22" t="inlineStr">
        <is>
          <t>Value</t>
        </is>
      </c>
      <c r="C1" s="22" t="inlineStr">
        <is>
          <t>Description</t>
        </is>
      </c>
      <c r="D1" s="22" t="inlineStr">
        <is>
          <t>Who edits this</t>
        </is>
      </c>
    </row>
    <row r="2">
      <c r="A2" s="0" t="inlineStr">
        <is>
          <t>BRAD_PLAYS</t>
        </is>
      </c>
      <c r="B2" s="23" t="b">
        <v>0</v>
      </c>
      <c r="C2" s="0" t="inlineStr">
        <is>
          <t>FALSE uses Brad Out rosters; TRUE uses Brad Plays rosters.</t>
        </is>
      </c>
      <c r="D2" s="0" t="inlineStr">
        <is>
          <t>Organizer</t>
        </is>
      </c>
    </row>
    <row r="3">
      <c r="A3" s="0" t="inlineStr">
        <is>
          <t>BETTING_OPEN</t>
        </is>
      </c>
      <c r="B3" s="23" t="b">
        <v>1</v>
      </c>
      <c r="C3" s="0" t="inlineStr">
        <is>
          <t>Set FALSE to stop new centralized bets.</t>
        </is>
      </c>
      <c r="D3" s="0" t="inlineStr">
        <is>
          <t>Organizer</t>
        </is>
      </c>
    </row>
    <row r="4">
      <c r="A4" s="0" t="inlineStr">
        <is>
          <t>EVENT_ID</t>
        </is>
      </c>
      <c r="B4" s="0" t="inlineStr">
        <is>
          <t>bachelor-basketball-2026</t>
        </is>
      </c>
      <c r="C4" s="0" t="inlineStr">
        <is>
          <t>Stable identifier stored on every ticket.</t>
        </is>
      </c>
      <c r="D4" s="0" t="inlineStr">
        <is>
          <t>Leave unchanged</t>
        </is>
      </c>
    </row>
    <row r="5">
      <c r="A5" s="0" t="inlineStr">
        <is>
          <t>MODEL_VERSION</t>
        </is>
      </c>
      <c r="B5" s="0" t="n">
        <v>2</v>
      </c>
      <c r="C5" s="0" t="inlineStr">
        <is>
          <t>Increment after materially changing ratings or pricing assumptions.</t>
        </is>
      </c>
      <c r="D5" s="0" t="inlineStr">
        <is>
          <t>Organizer</t>
        </is>
      </c>
    </row>
    <row r="6">
      <c r="A6" s="0" t="inlineStr">
        <is>
          <t>STARTING_UNITS</t>
        </is>
      </c>
      <c r="B6" s="0" t="n">
        <v>100</v>
      </c>
      <c r="C6" s="0" t="inlineStr">
        <is>
          <t>Starting bankroll for each participant.</t>
        </is>
      </c>
      <c r="D6" s="0" t="inlineStr">
        <is>
          <t>Leave unchanged</t>
        </is>
      </c>
    </row>
    <row r="7">
      <c r="A7" s="0" t="inlineStr">
        <is>
          <t>APPS_SCRIPT_URL</t>
        </is>
      </c>
      <c r="B7" s="23" t="inlineStr"/>
      <c r="C7" s="0" t="inlineStr">
        <is>
          <t>Paste the deployed Google Apps Script /exec URL here.</t>
        </is>
      </c>
      <c r="D7" s="0" t="inlineStr">
        <is>
          <t>Organizer setup</t>
        </is>
      </c>
    </row>
    <row r="8">
      <c r="A8" s="0" t="inlineStr">
        <is>
          <t>AUTO_REFRESH_SECONDS</t>
        </is>
      </c>
      <c r="B8" s="23" t="n">
        <v>30</v>
      </c>
      <c r="C8" s="0" t="inlineStr">
        <is>
          <t>How often the app checks for shared results and leaderboard changes.</t>
        </is>
      </c>
      <c r="D8" s="0" t="inlineStr">
        <is>
          <t>Organizer</t>
        </is>
      </c>
    </row>
    <row r="9">
      <c r="A9" s="0" t="inlineStr">
        <is>
          <t>TEAM_A_NAME</t>
        </is>
      </c>
      <c r="B9" s="23" t="inlineStr">
        <is>
          <t>Team A</t>
        </is>
      </c>
      <c r="C9" s="0" t="inlineStr">
        <is>
          <t>Central display name used throughout the Sheet and website.</t>
        </is>
      </c>
      <c r="D9" s="0" t="inlineStr">
        <is>
          <t>Organizer</t>
        </is>
      </c>
    </row>
    <row r="10">
      <c r="A10" s="0" t="inlineStr">
        <is>
          <t>TEAM_B_NAME</t>
        </is>
      </c>
      <c r="B10" s="23" t="inlineStr">
        <is>
          <t>Team B</t>
        </is>
      </c>
      <c r="C10" s="0" t="inlineStr">
        <is>
          <t>Central display name used throughout the Sheet and website.</t>
        </is>
      </c>
      <c r="D10" s="0" t="inlineStr">
        <is>
          <t>Organizer</t>
        </is>
      </c>
    </row>
    <row r="11">
      <c r="A11" s="0" t="inlineStr">
        <is>
          <t>TEAM_C_NAME</t>
        </is>
      </c>
      <c r="B11" s="23" t="inlineStr">
        <is>
          <t>Team C</t>
        </is>
      </c>
      <c r="C11" s="0" t="inlineStr">
        <is>
          <t>Central display name used throughout the Sheet and website.</t>
        </is>
      </c>
      <c r="D11" s="0" t="inlineStr">
        <is>
          <t>Organizer</t>
        </is>
      </c>
    </row>
    <row r="12">
      <c r="A12" s="0" t="inlineStr">
        <is>
          <t>STRAIGHT_VIG</t>
        </is>
      </c>
      <c r="B12" s="23" t="n">
        <v>0.06</v>
      </c>
      <c r="C12" s="0" t="inlineStr">
        <is>
          <t>Straight-market overround used for game lines and player props.</t>
        </is>
      </c>
      <c r="D12" s="0" t="inlineStr">
        <is>
          <t>Organizer</t>
        </is>
      </c>
    </row>
    <row r="13">
      <c r="A13" s="0" t="inlineStr">
        <is>
          <t>PARLAY_BASE_VIG</t>
        </is>
      </c>
      <c r="B13" s="23" t="n">
        <v>0.08</v>
      </c>
      <c r="C13" s="0" t="inlineStr">
        <is>
          <t>Base parlay margin applied after joint simulation pricing.</t>
        </is>
      </c>
      <c r="D13" s="0" t="inlineStr">
        <is>
          <t>Organizer</t>
        </is>
      </c>
    </row>
    <row r="14">
      <c r="A14" s="0" t="inlineStr">
        <is>
          <t>REBOUND_LINE_QUANTILE</t>
        </is>
      </c>
      <c r="B14" s="23" t="n">
        <v>0.5600000000000001</v>
      </c>
      <c r="C14" s="0" t="inlineStr">
        <is>
          <t>Conservative rebound line percentile.</t>
        </is>
      </c>
      <c r="D14" s="0" t="inlineStr">
        <is>
          <t>Organizer</t>
        </is>
      </c>
    </row>
    <row r="15">
      <c r="A15" s="0" t="inlineStr">
        <is>
          <t>ASSIST_LINE_QUANTILE</t>
        </is>
      </c>
      <c r="B15" s="23" t="n">
        <v>0.58</v>
      </c>
      <c r="C15" s="0" t="inlineStr">
        <is>
          <t>Conservative assist line percentile.</t>
        </is>
      </c>
      <c r="D15" s="0" t="inlineStr">
        <is>
          <t>Organizer</t>
        </is>
      </c>
    </row>
    <row r="16">
      <c r="A16" s="0" t="inlineStr">
        <is>
          <t>THREES_LINE_QUANTILE</t>
        </is>
      </c>
      <c r="B16" s="23" t="n">
        <v>0.5600000000000001</v>
      </c>
      <c r="C16" s="0" t="inlineStr">
        <is>
          <t>Conservative made-three line percentile.</t>
        </is>
      </c>
      <c r="D16" s="0" t="inlineStr">
        <is>
          <t>Organizer</t>
        </is>
      </c>
    </row>
    <row r="17">
      <c r="A17" s="0" t="inlineStr">
        <is>
          <t>COMBO_LINE_QUANTILE</t>
        </is>
      </c>
      <c r="B17" s="23" t="n">
        <v>0.55</v>
      </c>
      <c r="C17" s="0" t="inlineStr">
        <is>
          <t>Conservative combo-prop line percentile.</t>
        </is>
      </c>
      <c r="D17" s="0" t="inlineStr">
        <is>
          <t>Organizer</t>
        </is>
      </c>
    </row>
    <row r="18">
      <c r="A18" s="0" t="inlineStr">
        <is>
          <t>THREE_POINT_RATE_MIN</t>
        </is>
      </c>
      <c r="B18" s="23" t="n">
        <v>0.22</v>
      </c>
      <c r="C18" s="0" t="inlineStr">
        <is>
          <t>Minimum amateur pickup three-point attempt rate.</t>
        </is>
      </c>
      <c r="D18" s="0" t="inlineStr">
        <is>
          <t>Organizer</t>
        </is>
      </c>
    </row>
    <row r="19">
      <c r="A19" s="0" t="inlineStr">
        <is>
          <t>THREE_POINT_RATE_MAX</t>
        </is>
      </c>
      <c r="B19" s="23" t="n">
        <v>0.55</v>
      </c>
      <c r="C19" s="0" t="inlineStr">
        <is>
          <t>Maximum amateur pickup three-point attempt rate.</t>
        </is>
      </c>
      <c r="D19" s="0" t="inlineStr">
        <is>
          <t>Organizer</t>
        </is>
      </c>
    </row>
    <row r="20">
      <c r="A20" s="0" t="inlineStr">
        <is>
          <t>ASSIST_BASE_RATE</t>
        </is>
      </c>
      <c r="B20" s="23" t="n">
        <v>0.4</v>
      </c>
      <c r="C20" s="0" t="inlineStr">
        <is>
          <t>Base chance that a made basket receives an assist.</t>
        </is>
      </c>
      <c r="D20" s="0" t="inlineStr">
        <is>
          <t>Organizer</t>
        </is>
      </c>
    </row>
    <row r="21">
      <c r="A21" s="0" t="inlineStr">
        <is>
          <t>ASSIST_PLAYMAKING_SLOPE</t>
        </is>
      </c>
      <c r="B21" s="23" t="n">
        <v>0.04</v>
      </c>
      <c r="C21" s="0" t="inlineStr">
        <is>
          <t>Assist-rate increase per playmaking rating point.</t>
        </is>
      </c>
      <c r="D21" s="0" t="inlineStr">
        <is>
          <t>Organizer</t>
        </is>
      </c>
    </row>
    <row r="22">
      <c r="A22" s="0" t="inlineStr">
        <is>
          <t>OFFENSIVE_REBOUND_BASE_RATE</t>
        </is>
      </c>
      <c r="B22" s="23" t="n">
        <v>0.28</v>
      </c>
      <c r="C22" s="0" t="inlineStr">
        <is>
          <t>Base chance a miss becomes an offensive rebound.</t>
        </is>
      </c>
      <c r="D22" s="0" t="inlineStr">
        <is>
          <t>Organizer</t>
        </is>
      </c>
    </row>
  </sheetData>
  <autoFilter ref="A1:D1"/>
  <dataValidations count="1">
    <dataValidation sqref="B2:B3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D966"/>
    <outlinePr summaryBelow="1" summaryRight="1"/>
    <pageSetUpPr/>
  </sheetPr>
  <dimension ref="A1:Q5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4.43" defaultRowHeight="15" customHeight="1"/>
  <cols>
    <col width="16.71" customWidth="1" style="19" min="1" max="1"/>
    <col width="12.71" customWidth="1" style="19" min="2" max="2"/>
    <col width="40.71" customWidth="1" style="19" min="3" max="3"/>
    <col width="15.71" customWidth="1" style="19" min="4" max="10"/>
    <col width="14.71" customWidth="1" style="19" min="11" max="11"/>
    <col width="38.71" customWidth="1" style="19" min="12" max="12"/>
    <col width="15.71" customWidth="1" style="19" min="13" max="17"/>
    <col width="8.710000000000001" customWidth="1" style="19" min="18" max="26"/>
  </cols>
  <sheetData>
    <row r="1">
      <c r="A1" s="24" t="inlineStr">
        <is>
          <t>NORMALIZED RATINGS — yellow skill cells are centered so this group's average is 5.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6" t="n"/>
      <c r="M1" s="10" t="inlineStr">
        <is>
          <t>Calculated model outputs — do not edit</t>
        </is>
      </c>
      <c r="N1" s="25" t="n"/>
      <c r="O1" s="25" t="n"/>
      <c r="P1" s="25" t="n"/>
      <c r="Q1" s="26" t="n"/>
    </row>
    <row r="2">
      <c r="A2" s="9" t="inlineStr">
        <is>
          <t>Player</t>
        </is>
      </c>
      <c r="B2" s="9" t="inlineStr">
        <is>
          <t>Active?</t>
        </is>
      </c>
      <c r="C2" s="9" t="inlineStr">
        <is>
          <t>Notes</t>
        </is>
      </c>
      <c r="D2" s="9" t="inlineStr">
        <is>
          <t>Overall Talent</t>
        </is>
      </c>
      <c r="E2" s="9" t="inlineStr">
        <is>
          <t>Scoring</t>
        </is>
      </c>
      <c r="F2" s="9" t="inlineStr">
        <is>
          <t>Shooting</t>
        </is>
      </c>
      <c r="G2" s="9" t="inlineStr">
        <is>
          <t>Playmaking / Handle</t>
        </is>
      </c>
      <c r="H2" s="9" t="inlineStr">
        <is>
          <t>Defense</t>
        </is>
      </c>
      <c r="I2" s="9" t="inlineStr">
        <is>
          <t>Rebounding / Size</t>
        </is>
      </c>
      <c r="J2" s="9" t="inlineStr">
        <is>
          <t>Stamina</t>
        </is>
      </c>
      <c r="K2" s="9" t="inlineStr">
        <is>
          <t>Confidence</t>
        </is>
      </c>
      <c r="L2" s="9" t="inlineStr">
        <is>
          <t>Friend Notes</t>
        </is>
      </c>
      <c r="M2" s="10" t="inlineStr">
        <is>
          <t>Model Overall</t>
        </is>
      </c>
      <c r="N2" s="10" t="inlineStr">
        <is>
          <t>Model Offense</t>
        </is>
      </c>
      <c r="O2" s="10" t="inlineStr">
        <is>
          <t>Model Defense</t>
        </is>
      </c>
      <c r="P2" s="10" t="inlineStr">
        <is>
          <t>Prop Usage</t>
        </is>
      </c>
      <c r="Q2" s="10" t="inlineStr">
        <is>
          <t>Volatility</t>
        </is>
      </c>
    </row>
    <row r="3">
      <c r="A3" s="14" t="inlineStr">
        <is>
          <t>Alex</t>
        </is>
      </c>
      <c r="B3" s="14" t="inlineStr">
        <is>
          <t>Yes</t>
        </is>
      </c>
      <c r="C3" s="17" t="n"/>
      <c r="D3" s="13">
        <f>AVERAGE(E3:J3)</f>
        <v/>
      </c>
      <c r="E3" s="27" t="n">
        <v>7</v>
      </c>
      <c r="F3" s="27" t="n">
        <v>6</v>
      </c>
      <c r="G3" s="27" t="n">
        <v>6.5</v>
      </c>
      <c r="H3" s="27" t="n">
        <v>7</v>
      </c>
      <c r="I3" s="27" t="n">
        <v>8</v>
      </c>
      <c r="J3" s="27" t="n">
        <v>6</v>
      </c>
      <c r="K3" s="14" t="inlineStr">
        <is>
          <t>Low</t>
        </is>
      </c>
      <c r="L3" s="17" t="n"/>
      <c r="M3" s="15">
        <f>IFERROR((D3*0.35)+(E3*0.2)+(F3*0.1)+(G3*0.1)+(H3*0.15)+(I3*0.07)+(J3*0.03),"")</f>
        <v/>
      </c>
      <c r="N3" s="15">
        <f>IFERROR((E3*0.45)+(F3*0.25)+(G3*0.2)+(D3*0.1),"")</f>
        <v/>
      </c>
      <c r="O3" s="15">
        <f>IFERROR((H3*0.6)+(I3*0.25)+(J3*0.15),"")</f>
        <v/>
      </c>
      <c r="P3" s="16">
        <f>IFERROR((E3+G3)/20,"")</f>
        <v/>
      </c>
      <c r="Q3" s="15">
        <f>IFERROR(IF(K3="High",0.8,IF(K3="Medium",1,IF(K3="Low",1.25,1))),"")</f>
        <v/>
      </c>
    </row>
    <row r="4">
      <c r="A4" s="14" t="inlineStr">
        <is>
          <t>Peter</t>
        </is>
      </c>
      <c r="B4" s="14" t="inlineStr">
        <is>
          <t>Yes</t>
        </is>
      </c>
      <c r="C4" s="17" t="n"/>
      <c r="D4" s="13">
        <f>AVERAGE(E4:J4)</f>
        <v/>
      </c>
      <c r="E4" s="27" t="n">
        <v>6</v>
      </c>
      <c r="F4" s="27" t="n">
        <v>6</v>
      </c>
      <c r="G4" s="27" t="n">
        <v>8.5</v>
      </c>
      <c r="H4" s="27" t="n">
        <v>3</v>
      </c>
      <c r="I4" s="27" t="n">
        <v>4</v>
      </c>
      <c r="J4" s="27" t="n">
        <v>4</v>
      </c>
      <c r="K4" s="14" t="inlineStr">
        <is>
          <t>High</t>
        </is>
      </c>
      <c r="L4" s="17" t="n"/>
      <c r="M4" s="15">
        <f>IFERROR((D4*0.35)+(E4*0.2)+(F4*0.1)+(G4*0.1)+(H4*0.15)+(I4*0.07)+(J4*0.03),"")</f>
        <v/>
      </c>
      <c r="N4" s="15">
        <f>IFERROR((E4*0.45)+(F4*0.25)+(G4*0.2)+(D4*0.1),"")</f>
        <v/>
      </c>
      <c r="O4" s="15">
        <f>IFERROR((H4*0.6)+(I4*0.25)+(J4*0.15),"")</f>
        <v/>
      </c>
      <c r="P4" s="16">
        <f>IFERROR((E4+G4)/20,"")</f>
        <v/>
      </c>
      <c r="Q4" s="15">
        <f>IFERROR(IF(K4="High",0.8,IF(K4="Medium",1,IF(K4="Low",1.25,1))),"")</f>
        <v/>
      </c>
    </row>
    <row r="5">
      <c r="A5" s="14" t="inlineStr">
        <is>
          <t>Andrew</t>
        </is>
      </c>
      <c r="B5" s="14" t="inlineStr">
        <is>
          <t>Yes</t>
        </is>
      </c>
      <c r="C5" s="17" t="n"/>
      <c r="D5" s="13">
        <f>AVERAGE(E5:J5)</f>
        <v/>
      </c>
      <c r="E5" s="27" t="n">
        <v>3</v>
      </c>
      <c r="F5" s="27" t="n">
        <v>3</v>
      </c>
      <c r="G5" s="27" t="n">
        <v>3.5</v>
      </c>
      <c r="H5" s="27" t="n">
        <v>5</v>
      </c>
      <c r="I5" s="27" t="n">
        <v>5</v>
      </c>
      <c r="J5" s="27" t="n">
        <v>4</v>
      </c>
      <c r="K5" s="14" t="inlineStr">
        <is>
          <t>Low</t>
        </is>
      </c>
      <c r="L5" s="17" t="n"/>
      <c r="M5" s="15">
        <f>IFERROR((D5*0.35)+(E5*0.2)+(F5*0.1)+(G5*0.1)+(H5*0.15)+(I5*0.07)+(J5*0.03),"")</f>
        <v/>
      </c>
      <c r="N5" s="15">
        <f>IFERROR((E5*0.45)+(F5*0.25)+(G5*0.2)+(D5*0.1),"")</f>
        <v/>
      </c>
      <c r="O5" s="15">
        <f>IFERROR((H5*0.6)+(I5*0.25)+(J5*0.15),"")</f>
        <v/>
      </c>
      <c r="P5" s="16">
        <f>IFERROR((E5+G5)/20,"")</f>
        <v/>
      </c>
      <c r="Q5" s="15">
        <f>IFERROR(IF(K5="High",0.8,IF(K5="Medium",1,IF(K5="Low",1.25,1))),"")</f>
        <v/>
      </c>
    </row>
    <row r="6">
      <c r="A6" s="14" t="inlineStr">
        <is>
          <t>Jason</t>
        </is>
      </c>
      <c r="B6" s="14" t="inlineStr">
        <is>
          <t>Yes</t>
        </is>
      </c>
      <c r="C6" s="17" t="n"/>
      <c r="D6" s="13">
        <f>AVERAGE(E6:J6)</f>
        <v/>
      </c>
      <c r="E6" s="27" t="n">
        <v>1</v>
      </c>
      <c r="F6" s="27" t="n">
        <v>1</v>
      </c>
      <c r="G6" s="27" t="n">
        <v>1.5</v>
      </c>
      <c r="H6" s="27" t="n">
        <v>2</v>
      </c>
      <c r="I6" s="27" t="n">
        <v>3</v>
      </c>
      <c r="J6" s="27" t="n">
        <v>3</v>
      </c>
      <c r="K6" s="14" t="inlineStr">
        <is>
          <t>Low</t>
        </is>
      </c>
      <c r="L6" s="17" t="n"/>
      <c r="M6" s="15">
        <f>IFERROR((D6*0.35)+(E6*0.2)+(F6*0.1)+(G6*0.1)+(H6*0.15)+(I6*0.07)+(J6*0.03),"")</f>
        <v/>
      </c>
      <c r="N6" s="15">
        <f>IFERROR((E6*0.45)+(F6*0.25)+(G6*0.2)+(D6*0.1),"")</f>
        <v/>
      </c>
      <c r="O6" s="15">
        <f>IFERROR((H6*0.6)+(I6*0.25)+(J6*0.15),"")</f>
        <v/>
      </c>
      <c r="P6" s="16">
        <f>IFERROR((E6+G6)/20,"")</f>
        <v/>
      </c>
      <c r="Q6" s="15">
        <f>IFERROR(IF(K6="High",0.8,IF(K6="Medium",1,IF(K6="Low",1.25,1))),"")</f>
        <v/>
      </c>
    </row>
    <row r="7">
      <c r="A7" s="14" t="inlineStr">
        <is>
          <t>Eric</t>
        </is>
      </c>
      <c r="B7" s="14" t="inlineStr">
        <is>
          <t>Yes</t>
        </is>
      </c>
      <c r="C7" s="17" t="n"/>
      <c r="D7" s="13">
        <f>AVERAGE(E7:J7)</f>
        <v/>
      </c>
      <c r="E7" s="27" t="n">
        <v>7</v>
      </c>
      <c r="F7" s="27" t="n">
        <v>7</v>
      </c>
      <c r="G7" s="27" t="n">
        <v>6.5</v>
      </c>
      <c r="H7" s="27" t="n">
        <v>6</v>
      </c>
      <c r="I7" s="27" t="n">
        <v>5</v>
      </c>
      <c r="J7" s="27" t="n">
        <v>5</v>
      </c>
      <c r="K7" s="14" t="inlineStr">
        <is>
          <t>High</t>
        </is>
      </c>
      <c r="L7" s="17" t="inlineStr">
        <is>
          <t>High upside scorer, came off a 20 ppg season and won the championship</t>
        </is>
      </c>
      <c r="M7" s="15">
        <f>IFERROR((D7*0.35)+(E7*0.2)+(F7*0.1)+(G7*0.1)+(H7*0.15)+(I7*0.07)+(J7*0.03),"")</f>
        <v/>
      </c>
      <c r="N7" s="15">
        <f>IFERROR((E7*0.45)+(F7*0.25)+(G7*0.2)+(D7*0.1),"")</f>
        <v/>
      </c>
      <c r="O7" s="15">
        <f>IFERROR((H7*0.6)+(I7*0.25)+(J7*0.15),"")</f>
        <v/>
      </c>
      <c r="P7" s="16">
        <f>IFERROR((E7+G7)/20,"")</f>
        <v/>
      </c>
      <c r="Q7" s="15">
        <f>IFERROR(IF(K7="High",0.8,IF(K7="Medium",1,IF(K7="Low",1.25,1))),"")</f>
        <v/>
      </c>
    </row>
    <row r="8">
      <c r="A8" s="14" t="inlineStr">
        <is>
          <t>Josh</t>
        </is>
      </c>
      <c r="B8" s="14" t="inlineStr">
        <is>
          <t>Yes</t>
        </is>
      </c>
      <c r="C8" s="17" t="n"/>
      <c r="D8" s="13">
        <f>AVERAGE(E8:J8)</f>
        <v/>
      </c>
      <c r="E8" s="27" t="n">
        <v>5</v>
      </c>
      <c r="F8" s="27" t="n">
        <v>5</v>
      </c>
      <c r="G8" s="27" t="n">
        <v>3.5</v>
      </c>
      <c r="H8" s="27" t="n">
        <v>6</v>
      </c>
      <c r="I8" s="27" t="n">
        <v>4</v>
      </c>
      <c r="J8" s="27" t="n">
        <v>5</v>
      </c>
      <c r="K8" s="14" t="inlineStr">
        <is>
          <t>Low</t>
        </is>
      </c>
      <c r="L8" s="17" t="n"/>
      <c r="M8" s="15">
        <f>IFERROR((D8*0.35)+(E8*0.2)+(F8*0.1)+(G8*0.1)+(H8*0.15)+(I8*0.07)+(J8*0.03),"")</f>
        <v/>
      </c>
      <c r="N8" s="15">
        <f>IFERROR((E8*0.45)+(F8*0.25)+(G8*0.2)+(D8*0.1),"")</f>
        <v/>
      </c>
      <c r="O8" s="15">
        <f>IFERROR((H8*0.6)+(I8*0.25)+(J8*0.15),"")</f>
        <v/>
      </c>
      <c r="P8" s="16">
        <f>IFERROR((E8+G8)/20,"")</f>
        <v/>
      </c>
      <c r="Q8" s="15">
        <f>IFERROR(IF(K8="High",0.8,IF(K8="Medium",1,IF(K8="Low",1.25,1))),"")</f>
        <v/>
      </c>
    </row>
    <row r="9">
      <c r="A9" s="14" t="inlineStr">
        <is>
          <t>Zak</t>
        </is>
      </c>
      <c r="B9" s="14" t="inlineStr">
        <is>
          <t>Yes</t>
        </is>
      </c>
      <c r="C9" s="17" t="n"/>
      <c r="D9" s="13">
        <f>AVERAGE(E9:J9)</f>
        <v/>
      </c>
      <c r="E9" s="27" t="n">
        <v>5</v>
      </c>
      <c r="F9" s="27" t="n">
        <v>5</v>
      </c>
      <c r="G9" s="27" t="n">
        <v>6.5</v>
      </c>
      <c r="H9" s="27" t="n">
        <v>6</v>
      </c>
      <c r="I9" s="27" t="n">
        <v>5</v>
      </c>
      <c r="J9" s="27" t="n">
        <v>7</v>
      </c>
      <c r="K9" s="14" t="inlineStr">
        <is>
          <t>Low</t>
        </is>
      </c>
      <c r="L9" s="17" t="n"/>
      <c r="M9" s="15">
        <f>IFERROR((D9*0.35)+(E9*0.2)+(F9*0.1)+(G9*0.1)+(H9*0.15)+(I9*0.07)+(J9*0.03),"")</f>
        <v/>
      </c>
      <c r="N9" s="15">
        <f>IFERROR((E9*0.45)+(F9*0.25)+(G9*0.2)+(D9*0.1),"")</f>
        <v/>
      </c>
      <c r="O9" s="15">
        <f>IFERROR((H9*0.6)+(I9*0.25)+(J9*0.15),"")</f>
        <v/>
      </c>
      <c r="P9" s="16">
        <f>IFERROR((E9+G9)/20,"")</f>
        <v/>
      </c>
      <c r="Q9" s="15">
        <f>IFERROR(IF(K9="High",0.8,IF(K9="Medium",1,IF(K9="Low",1.25,1))),"")</f>
        <v/>
      </c>
    </row>
    <row r="10">
      <c r="A10" s="14" t="inlineStr">
        <is>
          <t>James</t>
        </is>
      </c>
      <c r="B10" s="14" t="inlineStr">
        <is>
          <t>Yes</t>
        </is>
      </c>
      <c r="C10" s="17" t="n"/>
      <c r="D10" s="13">
        <f>AVERAGE(E10:J10)</f>
        <v/>
      </c>
      <c r="E10" s="27" t="n">
        <v>1</v>
      </c>
      <c r="F10" s="27" t="n">
        <v>5</v>
      </c>
      <c r="G10" s="27" t="n">
        <v>1.5</v>
      </c>
      <c r="H10" s="27" t="n">
        <v>3</v>
      </c>
      <c r="I10" s="27" t="n">
        <v>7</v>
      </c>
      <c r="J10" s="27" t="n">
        <v>6</v>
      </c>
      <c r="K10" s="14" t="inlineStr">
        <is>
          <t>Low</t>
        </is>
      </c>
      <c r="L10" s="17" t="n"/>
      <c r="M10" s="15">
        <f>IFERROR((D10*0.35)+(E10*0.2)+(F10*0.1)+(G10*0.1)+(H10*0.15)+(I10*0.07)+(J10*0.03),"")</f>
        <v/>
      </c>
      <c r="N10" s="15">
        <f>IFERROR((E10*0.45)+(F10*0.25)+(G10*0.2)+(D10*0.1),"")</f>
        <v/>
      </c>
      <c r="O10" s="15">
        <f>IFERROR((H10*0.6)+(I10*0.25)+(J10*0.15),"")</f>
        <v/>
      </c>
      <c r="P10" s="16">
        <f>IFERROR((E10+G10)/20,"")</f>
        <v/>
      </c>
      <c r="Q10" s="15">
        <f>IFERROR(IF(K10="High",0.8,IF(K10="Medium",1,IF(K10="Low",1.25,1))),"")</f>
        <v/>
      </c>
    </row>
    <row r="11">
      <c r="A11" s="14" t="inlineStr">
        <is>
          <t>Emil</t>
        </is>
      </c>
      <c r="B11" s="14" t="inlineStr">
        <is>
          <t>Yes</t>
        </is>
      </c>
      <c r="C11" s="17" t="n"/>
      <c r="D11" s="13">
        <f>AVERAGE(E11:J11)</f>
        <v/>
      </c>
      <c r="E11" s="27" t="n">
        <v>7</v>
      </c>
      <c r="F11" s="27" t="n">
        <v>7</v>
      </c>
      <c r="G11" s="27" t="n">
        <v>5.5</v>
      </c>
      <c r="H11" s="27" t="n">
        <v>7</v>
      </c>
      <c r="I11" s="27" t="n">
        <v>7</v>
      </c>
      <c r="J11" s="27" t="n">
        <v>5</v>
      </c>
      <c r="K11" s="14" t="inlineStr">
        <is>
          <t>High</t>
        </is>
      </c>
      <c r="L11" s="17" t="n"/>
      <c r="M11" s="15">
        <f>IFERROR((D11*0.35)+(E11*0.2)+(F11*0.1)+(G11*0.1)+(H11*0.15)+(I11*0.07)+(J11*0.03),"")</f>
        <v/>
      </c>
      <c r="N11" s="15">
        <f>IFERROR((E11*0.45)+(F11*0.25)+(G11*0.2)+(D11*0.1),"")</f>
        <v/>
      </c>
      <c r="O11" s="15">
        <f>IFERROR((H11*0.6)+(I11*0.25)+(J11*0.15),"")</f>
        <v/>
      </c>
      <c r="P11" s="16">
        <f>IFERROR((E11+G11)/20,"")</f>
        <v/>
      </c>
      <c r="Q11" s="15">
        <f>IFERROR(IF(K11="High",0.8,IF(K11="Medium",1,IF(K11="Low",1.25,1))),"")</f>
        <v/>
      </c>
    </row>
    <row r="12">
      <c r="A12" s="14" t="inlineStr">
        <is>
          <t>Darryl</t>
        </is>
      </c>
      <c r="B12" s="14" t="inlineStr">
        <is>
          <t>Yes</t>
        </is>
      </c>
      <c r="C12" s="17" t="n"/>
      <c r="D12" s="13">
        <f>AVERAGE(E12:J12)</f>
        <v/>
      </c>
      <c r="E12" s="27" t="n">
        <v>7</v>
      </c>
      <c r="F12" s="27" t="n">
        <v>5</v>
      </c>
      <c r="G12" s="27" t="n">
        <v>4.5</v>
      </c>
      <c r="H12" s="27" t="n">
        <v>6</v>
      </c>
      <c r="I12" s="27" t="n">
        <v>5</v>
      </c>
      <c r="J12" s="27" t="n">
        <v>2</v>
      </c>
      <c r="K12" s="14" t="inlineStr">
        <is>
          <t>Low</t>
        </is>
      </c>
      <c r="L12" s="17" t="n"/>
      <c r="M12" s="15">
        <f>IFERROR((D12*0.35)+(E12*0.2)+(F12*0.1)+(G12*0.1)+(H12*0.15)+(I12*0.07)+(J12*0.03),"")</f>
        <v/>
      </c>
      <c r="N12" s="15">
        <f>IFERROR((E12*0.45)+(F12*0.25)+(G12*0.2)+(D12*0.1),"")</f>
        <v/>
      </c>
      <c r="O12" s="15">
        <f>IFERROR((H12*0.6)+(I12*0.25)+(J12*0.15),"")</f>
        <v/>
      </c>
      <c r="P12" s="16">
        <f>IFERROR((E12+G12)/20,"")</f>
        <v/>
      </c>
      <c r="Q12" s="15">
        <f>IFERROR(IF(K12="High",0.8,IF(K12="Medium",1,IF(K12="Low",1.25,1))),"")</f>
        <v/>
      </c>
    </row>
    <row r="13">
      <c r="A13" s="14" t="inlineStr">
        <is>
          <t>Berler</t>
        </is>
      </c>
      <c r="B13" s="14" t="inlineStr">
        <is>
          <t>Yes</t>
        </is>
      </c>
      <c r="C13" s="17" t="n"/>
      <c r="D13" s="13">
        <f>AVERAGE(E13:J13)</f>
        <v/>
      </c>
      <c r="E13" s="27" t="n">
        <v>3</v>
      </c>
      <c r="F13" s="27" t="n">
        <v>3</v>
      </c>
      <c r="G13" s="27" t="n">
        <v>3.5</v>
      </c>
      <c r="H13" s="27" t="n">
        <v>5</v>
      </c>
      <c r="I13" s="27" t="n">
        <v>5</v>
      </c>
      <c r="J13" s="27" t="n">
        <v>5</v>
      </c>
      <c r="K13" s="14" t="inlineStr">
        <is>
          <t>Low</t>
        </is>
      </c>
      <c r="L13" s="17" t="n"/>
      <c r="M13" s="15">
        <f>IFERROR((D13*0.35)+(E13*0.2)+(F13*0.1)+(G13*0.1)+(H13*0.15)+(I13*0.07)+(J13*0.03),"")</f>
        <v/>
      </c>
      <c r="N13" s="15">
        <f>IFERROR((E13*0.45)+(F13*0.25)+(G13*0.2)+(D13*0.1),"")</f>
        <v/>
      </c>
      <c r="O13" s="15">
        <f>IFERROR((H13*0.6)+(I13*0.25)+(J13*0.15),"")</f>
        <v/>
      </c>
      <c r="P13" s="16">
        <f>IFERROR((E13+G13)/20,"")</f>
        <v/>
      </c>
      <c r="Q13" s="15">
        <f>IFERROR(IF(K13="High",0.8,IF(K13="Medium",1,IF(K13="Low",1.25,1))),"")</f>
        <v/>
      </c>
    </row>
    <row r="14">
      <c r="A14" s="14" t="inlineStr">
        <is>
          <t>Alan</t>
        </is>
      </c>
      <c r="B14" s="14" t="inlineStr">
        <is>
          <t>Yes</t>
        </is>
      </c>
      <c r="C14" s="17" t="n"/>
      <c r="D14" s="13">
        <f>AVERAGE(E14:J14)</f>
        <v/>
      </c>
      <c r="E14" s="27" t="n">
        <v>5</v>
      </c>
      <c r="F14" s="27" t="n">
        <v>4</v>
      </c>
      <c r="G14" s="27" t="n">
        <v>4.5</v>
      </c>
      <c r="H14" s="27" t="n">
        <v>4</v>
      </c>
      <c r="I14" s="27" t="n">
        <v>3</v>
      </c>
      <c r="J14" s="27" t="n">
        <v>7</v>
      </c>
      <c r="K14" s="14" t="inlineStr">
        <is>
          <t>High</t>
        </is>
      </c>
      <c r="L14" s="17" t="n"/>
      <c r="M14" s="15">
        <f>IFERROR((D14*0.35)+(E14*0.2)+(F14*0.1)+(G14*0.1)+(H14*0.15)+(I14*0.07)+(J14*0.03),"")</f>
        <v/>
      </c>
      <c r="N14" s="15">
        <f>IFERROR((E14*0.45)+(F14*0.25)+(G14*0.2)+(D14*0.1),"")</f>
        <v/>
      </c>
      <c r="O14" s="15">
        <f>IFERROR((H14*0.6)+(I14*0.25)+(J14*0.15),"")</f>
        <v/>
      </c>
      <c r="P14" s="16">
        <f>IFERROR((E14+G14)/20,"")</f>
        <v/>
      </c>
      <c r="Q14" s="15">
        <f>IFERROR(IF(K14="High",0.8,IF(K14="Medium",1,IF(K14="Low",1.25,1))),"")</f>
        <v/>
      </c>
    </row>
    <row r="15">
      <c r="A15" s="14" t="inlineStr">
        <is>
          <t>Brad</t>
        </is>
      </c>
      <c r="B15" s="14" t="inlineStr">
        <is>
          <t>Maybe</t>
        </is>
      </c>
      <c r="C15" s="17" t="inlineStr">
        <is>
          <t xml:space="preserve">Injury-dependent; rate expected ability if he plays. Coming off a stress fracture so he's RUSTY. </t>
        </is>
      </c>
      <c r="D15" s="13">
        <f>AVERAGE(E15:J15)</f>
        <v/>
      </c>
      <c r="E15" s="27" t="n">
        <v>6</v>
      </c>
      <c r="F15" s="27" t="n">
        <v>7</v>
      </c>
      <c r="G15" s="27" t="n">
        <v>6.5</v>
      </c>
      <c r="H15" s="27" t="n">
        <v>4</v>
      </c>
      <c r="I15" s="27" t="n">
        <v>3</v>
      </c>
      <c r="J15" s="27" t="n">
        <v>3</v>
      </c>
      <c r="K15" s="14" t="inlineStr">
        <is>
          <t>Medium</t>
        </is>
      </c>
      <c r="L15" s="17" t="n"/>
      <c r="M15" s="15">
        <f>IFERROR((D15*0.35)+(E15*0.2)+(F15*0.1)+(G15*0.1)+(H15*0.15)+(I15*0.07)+(J15*0.03),"")</f>
        <v/>
      </c>
      <c r="N15" s="15">
        <f>IFERROR((E15*0.45)+(F15*0.25)+(G15*0.2)+(D15*0.1),"")</f>
        <v/>
      </c>
      <c r="O15" s="15">
        <f>IFERROR((H15*0.6)+(I15*0.25)+(J15*0.15),"")</f>
        <v/>
      </c>
      <c r="P15" s="16">
        <f>IFERROR((E15+G15)/20,"")</f>
        <v/>
      </c>
      <c r="Q15" s="15">
        <f>IFERROR(IF(K15="High",0.8,IF(K15="Medium",1,IF(K15="Low",1.25,1))),"")</f>
        <v/>
      </c>
    </row>
    <row r="16">
      <c r="B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B17" s="18" t="n"/>
      <c r="D17" s="18" t="n"/>
      <c r="E17" s="18" t="n"/>
      <c r="F17" s="18" t="n"/>
      <c r="G17" s="18" t="n"/>
      <c r="H17" s="18" t="n"/>
      <c r="I17" s="18" t="n"/>
      <c r="J17" s="18" t="n"/>
      <c r="K17" s="18" t="n"/>
    </row>
    <row r="18">
      <c r="B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B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 ht="15.75" customHeight="1" s="19">
      <c r="B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 ht="15.75" customHeight="1" s="19">
      <c r="B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 ht="15.75" customHeight="1" s="19">
      <c r="B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 ht="15.75" customHeight="1" s="19">
      <c r="B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 ht="15.75" customHeight="1" s="19">
      <c r="B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 ht="15.75" customHeight="1" s="19">
      <c r="B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 ht="15.75" customHeight="1" s="19">
      <c r="B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 ht="15.75" customHeight="1" s="19">
      <c r="B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 ht="15.75" customHeight="1" s="19">
      <c r="B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 ht="15.75" customHeight="1" s="19">
      <c r="B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 ht="15.75" customHeight="1" s="19">
      <c r="B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 ht="15.75" customHeight="1" s="19">
      <c r="B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 ht="15.75" customHeight="1" s="19">
      <c r="B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 ht="15.75" customHeight="1" s="19">
      <c r="B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 ht="15.75" customHeight="1" s="19">
      <c r="B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 ht="15.75" customHeight="1" s="19">
      <c r="B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 ht="15.75" customHeight="1" s="19">
      <c r="B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 ht="15.75" customHeight="1" s="19">
      <c r="B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 ht="15.75" customHeight="1" s="19">
      <c r="B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 ht="15.75" customHeight="1" s="19">
      <c r="B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 ht="15.75" customHeight="1" s="19">
      <c r="B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 ht="15.75" customHeight="1" s="19">
      <c r="B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 ht="15.75" customHeight="1" s="19">
      <c r="B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 ht="15.75" customHeight="1" s="19">
      <c r="B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 ht="15.75" customHeight="1" s="19">
      <c r="B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 ht="15.75" customHeight="1" s="19">
      <c r="B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 ht="15.75" customHeight="1" s="19">
      <c r="B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 ht="15.75" customHeight="1" s="19">
      <c r="B47" s="18" t="n"/>
      <c r="D47" s="18" t="n"/>
      <c r="E47" s="18" t="n"/>
      <c r="F47" s="18" t="n"/>
      <c r="G47" s="18" t="n"/>
      <c r="H47" s="18" t="n"/>
      <c r="I47" s="18" t="n"/>
      <c r="J47" s="18" t="n"/>
      <c r="K47" s="18" t="n"/>
    </row>
    <row r="48" ht="15.75" customHeight="1" s="19">
      <c r="B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 ht="15.75" customHeight="1" s="19">
      <c r="B49" s="18" t="n"/>
      <c r="D49" s="18" t="n"/>
      <c r="E49" s="18" t="n"/>
      <c r="F49" s="18" t="n"/>
      <c r="G49" s="18" t="n"/>
      <c r="H49" s="18" t="n"/>
      <c r="I49" s="18" t="n"/>
      <c r="J49" s="18" t="n"/>
      <c r="K49" s="18" t="n"/>
    </row>
    <row r="50" ht="15.75" customHeight="1" s="19">
      <c r="B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</sheetData>
  <autoFilter ref="$A$2:$Q$15"/>
  <mergeCells count="2">
    <mergeCell ref="M1:Q1"/>
    <mergeCell ref="A1:L1"/>
  </mergeCells>
  <dataValidations count="3">
    <dataValidation sqref="D3:J50" showDropDown="0" showInputMessage="1" showErrorMessage="1" allowBlank="1" prompt="1–10 rating - Rate relative to this group. 5 = average." type="decimal">
      <formula1>1.0</formula1>
      <formula2>10.0</formula2>
    </dataValidation>
    <dataValidation sqref="B3:B50" showDropDown="0" showInputMessage="0" showErrorMessage="1" allowBlank="1" type="list">
      <formula1>"Yes,No,Maybe"</formula1>
    </dataValidation>
    <dataValidation sqref="K3:K50" showDropDown="0" showInputMessage="0" showErrorMessage="1" allowBlank="1" type="list">
      <formula1>"High,Medium,Low"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9" min="1" max="1"/>
    <col width="24" customWidth="1" style="19" min="2" max="2"/>
    <col width="12" customWidth="1" style="19" min="3" max="3"/>
    <col width="22" customWidth="1" style="19" min="4" max="4"/>
    <col width="13" customWidth="1" style="19" min="5" max="5"/>
    <col width="11" customWidth="1" style="19" min="6" max="6"/>
    <col width="55" customWidth="1" style="19" min="7" max="7"/>
  </cols>
  <sheetData>
    <row r="1" ht="30" customHeight="1" s="19">
      <c r="A1" s="22" t="inlineStr">
        <is>
          <t>Player</t>
        </is>
      </c>
      <c r="B1" s="22" t="inlineStr">
        <is>
          <t>Category</t>
        </is>
      </c>
      <c r="C1" s="22" t="inlineStr">
        <is>
          <t>Original</t>
        </is>
      </c>
      <c r="D1" s="22" t="inlineStr">
        <is>
          <t>Category Original Mean</t>
        </is>
      </c>
      <c r="E1" s="22" t="inlineStr">
        <is>
          <t>Normalized</t>
        </is>
      </c>
      <c r="F1" s="22" t="inlineStr">
        <is>
          <t>Change</t>
        </is>
      </c>
      <c r="G1" s="22" t="inlineStr">
        <is>
          <t>Method</t>
        </is>
      </c>
    </row>
    <row r="2">
      <c r="A2" s="0" t="inlineStr">
        <is>
          <t>Alex</t>
        </is>
      </c>
      <c r="B2" s="0" t="inlineStr">
        <is>
          <t>Scoring</t>
        </is>
      </c>
      <c r="C2" s="0" t="n">
        <v>9</v>
      </c>
      <c r="D2" s="0" t="n">
        <v>6.846</v>
      </c>
      <c r="E2" s="0" t="n">
        <v>7</v>
      </c>
      <c r="F2" s="0" t="n">
        <v>-2</v>
      </c>
      <c r="G2" s="0" t="inlineStr">
        <is>
          <t>Original relative gaps preserved; category mean shifted to 5 and rounded to 0.5.</t>
        </is>
      </c>
    </row>
    <row r="3">
      <c r="A3" s="0" t="inlineStr">
        <is>
          <t>Alex</t>
        </is>
      </c>
      <c r="B3" s="0" t="inlineStr">
        <is>
          <t>Shooting</t>
        </is>
      </c>
      <c r="C3" s="0" t="n">
        <v>8</v>
      </c>
      <c r="D3" s="0" t="n">
        <v>6.923</v>
      </c>
      <c r="E3" s="0" t="n">
        <v>6</v>
      </c>
      <c r="F3" s="0" t="n">
        <v>-2</v>
      </c>
      <c r="G3" s="0" t="inlineStr">
        <is>
          <t>Original relative gaps preserved; category mean shifted to 5 and rounded to 0.5.</t>
        </is>
      </c>
    </row>
    <row r="4">
      <c r="A4" s="0" t="inlineStr">
        <is>
          <t>Alex</t>
        </is>
      </c>
      <c r="B4" s="0" t="inlineStr">
        <is>
          <t>Playmaking / Handle</t>
        </is>
      </c>
      <c r="C4" s="0" t="n">
        <v>8</v>
      </c>
      <c r="D4" s="0" t="n">
        <v>6.308</v>
      </c>
      <c r="E4" s="0" t="n">
        <v>6.5</v>
      </c>
      <c r="F4" s="0" t="n">
        <v>-1.5</v>
      </c>
      <c r="G4" s="0" t="inlineStr">
        <is>
          <t>Original relative gaps preserved; category mean shifted to 5 and rounded to 0.5.</t>
        </is>
      </c>
    </row>
    <row r="5">
      <c r="A5" s="0" t="inlineStr">
        <is>
          <t>Alex</t>
        </is>
      </c>
      <c r="B5" s="0" t="inlineStr">
        <is>
          <t>Defense</t>
        </is>
      </c>
      <c r="C5" s="0" t="n">
        <v>9</v>
      </c>
      <c r="D5" s="0" t="n">
        <v>6.923</v>
      </c>
      <c r="E5" s="0" t="n">
        <v>7</v>
      </c>
      <c r="F5" s="0" t="n">
        <v>-2</v>
      </c>
      <c r="G5" s="0" t="inlineStr">
        <is>
          <t>Original relative gaps preserved; category mean shifted to 5 and rounded to 0.5.</t>
        </is>
      </c>
    </row>
    <row r="6">
      <c r="A6" s="0" t="inlineStr">
        <is>
          <t>Alex</t>
        </is>
      </c>
      <c r="B6" s="0" t="inlineStr">
        <is>
          <t>Rebounding / Size</t>
        </is>
      </c>
      <c r="C6" s="0" t="n">
        <v>10</v>
      </c>
      <c r="D6" s="0" t="n">
        <v>6.923</v>
      </c>
      <c r="E6" s="0" t="n">
        <v>8</v>
      </c>
      <c r="F6" s="0" t="n">
        <v>-2</v>
      </c>
      <c r="G6" s="0" t="inlineStr">
        <is>
          <t>Original relative gaps preserved; category mean shifted to 5 and rounded to 0.5.</t>
        </is>
      </c>
    </row>
    <row r="7">
      <c r="A7" s="0" t="inlineStr">
        <is>
          <t>Alex</t>
        </is>
      </c>
      <c r="B7" s="0" t="inlineStr">
        <is>
          <t>Stamina</t>
        </is>
      </c>
      <c r="C7" s="0" t="n">
        <v>9</v>
      </c>
      <c r="D7" s="0" t="n">
        <v>7.769</v>
      </c>
      <c r="E7" s="0" t="n">
        <v>6</v>
      </c>
      <c r="F7" s="0" t="n">
        <v>-3</v>
      </c>
      <c r="G7" s="0" t="inlineStr">
        <is>
          <t>Original relative gaps preserved; category mean shifted to 5 and rounded to 0.5.</t>
        </is>
      </c>
    </row>
    <row r="8">
      <c r="A8" s="0" t="inlineStr">
        <is>
          <t>Peter</t>
        </is>
      </c>
      <c r="B8" s="0" t="inlineStr">
        <is>
          <t>Scoring</t>
        </is>
      </c>
      <c r="C8" s="0" t="n">
        <v>8</v>
      </c>
      <c r="D8" s="0" t="n">
        <v>6.846</v>
      </c>
      <c r="E8" s="0" t="n">
        <v>6</v>
      </c>
      <c r="F8" s="0" t="n">
        <v>-2</v>
      </c>
      <c r="G8" s="0" t="inlineStr">
        <is>
          <t>Original relative gaps preserved; category mean shifted to 5 and rounded to 0.5.</t>
        </is>
      </c>
    </row>
    <row r="9">
      <c r="A9" s="0" t="inlineStr">
        <is>
          <t>Peter</t>
        </is>
      </c>
      <c r="B9" s="0" t="inlineStr">
        <is>
          <t>Shooting</t>
        </is>
      </c>
      <c r="C9" s="0" t="n">
        <v>8</v>
      </c>
      <c r="D9" s="0" t="n">
        <v>6.923</v>
      </c>
      <c r="E9" s="0" t="n">
        <v>6</v>
      </c>
      <c r="F9" s="0" t="n">
        <v>-2</v>
      </c>
      <c r="G9" s="0" t="inlineStr">
        <is>
          <t>Original relative gaps preserved; category mean shifted to 5 and rounded to 0.5.</t>
        </is>
      </c>
    </row>
    <row r="10">
      <c r="A10" s="0" t="inlineStr">
        <is>
          <t>Peter</t>
        </is>
      </c>
      <c r="B10" s="0" t="inlineStr">
        <is>
          <t>Playmaking / Handle</t>
        </is>
      </c>
      <c r="C10" s="0" t="n">
        <v>10</v>
      </c>
      <c r="D10" s="0" t="n">
        <v>6.308</v>
      </c>
      <c r="E10" s="0" t="n">
        <v>8.5</v>
      </c>
      <c r="F10" s="0" t="n">
        <v>-1.5</v>
      </c>
      <c r="G10" s="0" t="inlineStr">
        <is>
          <t>Original relative gaps preserved; category mean shifted to 5 and rounded to 0.5.</t>
        </is>
      </c>
    </row>
    <row r="11">
      <c r="A11" s="0" t="inlineStr">
        <is>
          <t>Peter</t>
        </is>
      </c>
      <c r="B11" s="0" t="inlineStr">
        <is>
          <t>Defense</t>
        </is>
      </c>
      <c r="C11" s="0" t="n">
        <v>5</v>
      </c>
      <c r="D11" s="0" t="n">
        <v>6.923</v>
      </c>
      <c r="E11" s="0" t="n">
        <v>3</v>
      </c>
      <c r="F11" s="0" t="n">
        <v>-2</v>
      </c>
      <c r="G11" s="0" t="inlineStr">
        <is>
          <t>Original relative gaps preserved; category mean shifted to 5 and rounded to 0.5.</t>
        </is>
      </c>
    </row>
    <row r="12">
      <c r="A12" s="0" t="inlineStr">
        <is>
          <t>Peter</t>
        </is>
      </c>
      <c r="B12" s="0" t="inlineStr">
        <is>
          <t>Rebounding / Size</t>
        </is>
      </c>
      <c r="C12" s="0" t="n">
        <v>6</v>
      </c>
      <c r="D12" s="0" t="n">
        <v>6.923</v>
      </c>
      <c r="E12" s="0" t="n">
        <v>4</v>
      </c>
      <c r="F12" s="0" t="n">
        <v>-2</v>
      </c>
      <c r="G12" s="0" t="inlineStr">
        <is>
          <t>Original relative gaps preserved; category mean shifted to 5 and rounded to 0.5.</t>
        </is>
      </c>
    </row>
    <row r="13">
      <c r="A13" s="0" t="inlineStr">
        <is>
          <t>Peter</t>
        </is>
      </c>
      <c r="B13" s="0" t="inlineStr">
        <is>
          <t>Stamina</t>
        </is>
      </c>
      <c r="C13" s="0" t="n">
        <v>7</v>
      </c>
      <c r="D13" s="0" t="n">
        <v>7.769</v>
      </c>
      <c r="E13" s="0" t="n">
        <v>4</v>
      </c>
      <c r="F13" s="0" t="n">
        <v>-3</v>
      </c>
      <c r="G13" s="0" t="inlineStr">
        <is>
          <t>Original relative gaps preserved; category mean shifted to 5 and rounded to 0.5.</t>
        </is>
      </c>
    </row>
    <row r="14">
      <c r="A14" s="0" t="inlineStr">
        <is>
          <t>Andrew</t>
        </is>
      </c>
      <c r="B14" s="0" t="inlineStr">
        <is>
          <t>Scoring</t>
        </is>
      </c>
      <c r="C14" s="0" t="n">
        <v>5</v>
      </c>
      <c r="D14" s="0" t="n">
        <v>6.846</v>
      </c>
      <c r="E14" s="0" t="n">
        <v>3</v>
      </c>
      <c r="F14" s="0" t="n">
        <v>-2</v>
      </c>
      <c r="G14" s="0" t="inlineStr">
        <is>
          <t>Original relative gaps preserved; category mean shifted to 5 and rounded to 0.5.</t>
        </is>
      </c>
    </row>
    <row r="15">
      <c r="A15" s="0" t="inlineStr">
        <is>
          <t>Andrew</t>
        </is>
      </c>
      <c r="B15" s="0" t="inlineStr">
        <is>
          <t>Shooting</t>
        </is>
      </c>
      <c r="C15" s="0" t="n">
        <v>5</v>
      </c>
      <c r="D15" s="0" t="n">
        <v>6.923</v>
      </c>
      <c r="E15" s="0" t="n">
        <v>3</v>
      </c>
      <c r="F15" s="0" t="n">
        <v>-2</v>
      </c>
      <c r="G15" s="0" t="inlineStr">
        <is>
          <t>Original relative gaps preserved; category mean shifted to 5 and rounded to 0.5.</t>
        </is>
      </c>
    </row>
    <row r="16">
      <c r="A16" s="0" t="inlineStr">
        <is>
          <t>Andrew</t>
        </is>
      </c>
      <c r="B16" s="0" t="inlineStr">
        <is>
          <t>Playmaking / Handle</t>
        </is>
      </c>
      <c r="C16" s="0" t="n">
        <v>5</v>
      </c>
      <c r="D16" s="0" t="n">
        <v>6.308</v>
      </c>
      <c r="E16" s="0" t="n">
        <v>3.5</v>
      </c>
      <c r="F16" s="0" t="n">
        <v>-1.5</v>
      </c>
      <c r="G16" s="0" t="inlineStr">
        <is>
          <t>Original relative gaps preserved; category mean shifted to 5 and rounded to 0.5.</t>
        </is>
      </c>
    </row>
    <row r="17">
      <c r="A17" s="0" t="inlineStr">
        <is>
          <t>Andrew</t>
        </is>
      </c>
      <c r="B17" s="0" t="inlineStr">
        <is>
          <t>Defense</t>
        </is>
      </c>
      <c r="C17" s="0" t="n">
        <v>7</v>
      </c>
      <c r="D17" s="0" t="n">
        <v>6.923</v>
      </c>
      <c r="E17" s="0" t="n">
        <v>5</v>
      </c>
      <c r="F17" s="0" t="n">
        <v>-2</v>
      </c>
      <c r="G17" s="0" t="inlineStr">
        <is>
          <t>Original relative gaps preserved; category mean shifted to 5 and rounded to 0.5.</t>
        </is>
      </c>
    </row>
    <row r="18">
      <c r="A18" s="0" t="inlineStr">
        <is>
          <t>Andrew</t>
        </is>
      </c>
      <c r="B18" s="0" t="inlineStr">
        <is>
          <t>Rebounding / Size</t>
        </is>
      </c>
      <c r="C18" s="0" t="n">
        <v>7</v>
      </c>
      <c r="D18" s="0" t="n">
        <v>6.923</v>
      </c>
      <c r="E18" s="0" t="n">
        <v>5</v>
      </c>
      <c r="F18" s="0" t="n">
        <v>-2</v>
      </c>
      <c r="G18" s="0" t="inlineStr">
        <is>
          <t>Original relative gaps preserved; category mean shifted to 5 and rounded to 0.5.</t>
        </is>
      </c>
    </row>
    <row r="19">
      <c r="A19" s="0" t="inlineStr">
        <is>
          <t>Andrew</t>
        </is>
      </c>
      <c r="B19" s="0" t="inlineStr">
        <is>
          <t>Stamina</t>
        </is>
      </c>
      <c r="C19" s="0" t="n">
        <v>7</v>
      </c>
      <c r="D19" s="0" t="n">
        <v>7.769</v>
      </c>
      <c r="E19" s="0" t="n">
        <v>4</v>
      </c>
      <c r="F19" s="0" t="n">
        <v>-3</v>
      </c>
      <c r="G19" s="0" t="inlineStr">
        <is>
          <t>Original relative gaps preserved; category mean shifted to 5 and rounded to 0.5.</t>
        </is>
      </c>
    </row>
    <row r="20">
      <c r="A20" s="0" t="inlineStr">
        <is>
          <t>Jason</t>
        </is>
      </c>
      <c r="B20" s="0" t="inlineStr">
        <is>
          <t>Scoring</t>
        </is>
      </c>
      <c r="C20" s="0" t="n">
        <v>3</v>
      </c>
      <c r="D20" s="0" t="n">
        <v>6.846</v>
      </c>
      <c r="E20" s="0" t="n">
        <v>1</v>
      </c>
      <c r="F20" s="0" t="n">
        <v>-2</v>
      </c>
      <c r="G20" s="0" t="inlineStr">
        <is>
          <t>Original relative gaps preserved; category mean shifted to 5 and rounded to 0.5.</t>
        </is>
      </c>
    </row>
    <row r="21">
      <c r="A21" s="0" t="inlineStr">
        <is>
          <t>Jason</t>
        </is>
      </c>
      <c r="B21" s="0" t="inlineStr">
        <is>
          <t>Shooting</t>
        </is>
      </c>
      <c r="C21" s="0" t="n">
        <v>3</v>
      </c>
      <c r="D21" s="0" t="n">
        <v>6.923</v>
      </c>
      <c r="E21" s="0" t="n">
        <v>1</v>
      </c>
      <c r="F21" s="0" t="n">
        <v>-2</v>
      </c>
      <c r="G21" s="0" t="inlineStr">
        <is>
          <t>Original relative gaps preserved; category mean shifted to 5 and rounded to 0.5.</t>
        </is>
      </c>
    </row>
    <row r="22">
      <c r="A22" s="0" t="inlineStr">
        <is>
          <t>Jason</t>
        </is>
      </c>
      <c r="B22" s="0" t="inlineStr">
        <is>
          <t>Playmaking / Handle</t>
        </is>
      </c>
      <c r="C22" s="0" t="n">
        <v>3</v>
      </c>
      <c r="D22" s="0" t="n">
        <v>6.308</v>
      </c>
      <c r="E22" s="0" t="n">
        <v>1.5</v>
      </c>
      <c r="F22" s="0" t="n">
        <v>-1.5</v>
      </c>
      <c r="G22" s="0" t="inlineStr">
        <is>
          <t>Original relative gaps preserved; category mean shifted to 5 and rounded to 0.5.</t>
        </is>
      </c>
    </row>
    <row r="23">
      <c r="A23" s="0" t="inlineStr">
        <is>
          <t>Jason</t>
        </is>
      </c>
      <c r="B23" s="0" t="inlineStr">
        <is>
          <t>Defense</t>
        </is>
      </c>
      <c r="C23" s="0" t="n">
        <v>4</v>
      </c>
      <c r="D23" s="0" t="n">
        <v>6.923</v>
      </c>
      <c r="E23" s="0" t="n">
        <v>2</v>
      </c>
      <c r="F23" s="0" t="n">
        <v>-2</v>
      </c>
      <c r="G23" s="0" t="inlineStr">
        <is>
          <t>Original relative gaps preserved; category mean shifted to 5 and rounded to 0.5.</t>
        </is>
      </c>
    </row>
    <row r="24">
      <c r="A24" s="0" t="inlineStr">
        <is>
          <t>Jason</t>
        </is>
      </c>
      <c r="B24" s="0" t="inlineStr">
        <is>
          <t>Rebounding / Size</t>
        </is>
      </c>
      <c r="C24" s="0" t="n">
        <v>5</v>
      </c>
      <c r="D24" s="0" t="n">
        <v>6.923</v>
      </c>
      <c r="E24" s="0" t="n">
        <v>3</v>
      </c>
      <c r="F24" s="0" t="n">
        <v>-2</v>
      </c>
      <c r="G24" s="0" t="inlineStr">
        <is>
          <t>Original relative gaps preserved; category mean shifted to 5 and rounded to 0.5.</t>
        </is>
      </c>
    </row>
    <row r="25">
      <c r="A25" s="0" t="inlineStr">
        <is>
          <t>Jason</t>
        </is>
      </c>
      <c r="B25" s="0" t="inlineStr">
        <is>
          <t>Stamina</t>
        </is>
      </c>
      <c r="C25" s="0" t="n">
        <v>6</v>
      </c>
      <c r="D25" s="0" t="n">
        <v>7.769</v>
      </c>
      <c r="E25" s="0" t="n">
        <v>3</v>
      </c>
      <c r="F25" s="0" t="n">
        <v>-3</v>
      </c>
      <c r="G25" s="0" t="inlineStr">
        <is>
          <t>Original relative gaps preserved; category mean shifted to 5 and rounded to 0.5.</t>
        </is>
      </c>
    </row>
    <row r="26">
      <c r="A26" s="0" t="inlineStr">
        <is>
          <t>Eric</t>
        </is>
      </c>
      <c r="B26" s="0" t="inlineStr">
        <is>
          <t>Scoring</t>
        </is>
      </c>
      <c r="C26" s="0" t="n">
        <v>9</v>
      </c>
      <c r="D26" s="0" t="n">
        <v>6.846</v>
      </c>
      <c r="E26" s="0" t="n">
        <v>7</v>
      </c>
      <c r="F26" s="0" t="n">
        <v>-2</v>
      </c>
      <c r="G26" s="0" t="inlineStr">
        <is>
          <t>Original relative gaps preserved; category mean shifted to 5 and rounded to 0.5.</t>
        </is>
      </c>
    </row>
    <row r="27">
      <c r="A27" s="0" t="inlineStr">
        <is>
          <t>Eric</t>
        </is>
      </c>
      <c r="B27" s="0" t="inlineStr">
        <is>
          <t>Shooting</t>
        </is>
      </c>
      <c r="C27" s="0" t="n">
        <v>9</v>
      </c>
      <c r="D27" s="0" t="n">
        <v>6.923</v>
      </c>
      <c r="E27" s="0" t="n">
        <v>7</v>
      </c>
      <c r="F27" s="0" t="n">
        <v>-2</v>
      </c>
      <c r="G27" s="0" t="inlineStr">
        <is>
          <t>Original relative gaps preserved; category mean shifted to 5 and rounded to 0.5.</t>
        </is>
      </c>
    </row>
    <row r="28">
      <c r="A28" s="0" t="inlineStr">
        <is>
          <t>Eric</t>
        </is>
      </c>
      <c r="B28" s="0" t="inlineStr">
        <is>
          <t>Playmaking / Handle</t>
        </is>
      </c>
      <c r="C28" s="0" t="n">
        <v>8</v>
      </c>
      <c r="D28" s="0" t="n">
        <v>6.308</v>
      </c>
      <c r="E28" s="0" t="n">
        <v>6.5</v>
      </c>
      <c r="F28" s="0" t="n">
        <v>-1.5</v>
      </c>
      <c r="G28" s="0" t="inlineStr">
        <is>
          <t>Original relative gaps preserved; category mean shifted to 5 and rounded to 0.5.</t>
        </is>
      </c>
    </row>
    <row r="29">
      <c r="A29" s="0" t="inlineStr">
        <is>
          <t>Eric</t>
        </is>
      </c>
      <c r="B29" s="0" t="inlineStr">
        <is>
          <t>Defense</t>
        </is>
      </c>
      <c r="C29" s="0" t="n">
        <v>8</v>
      </c>
      <c r="D29" s="0" t="n">
        <v>6.923</v>
      </c>
      <c r="E29" s="0" t="n">
        <v>6</v>
      </c>
      <c r="F29" s="0" t="n">
        <v>-2</v>
      </c>
      <c r="G29" s="0" t="inlineStr">
        <is>
          <t>Original relative gaps preserved; category mean shifted to 5 and rounded to 0.5.</t>
        </is>
      </c>
    </row>
    <row r="30">
      <c r="A30" s="0" t="inlineStr">
        <is>
          <t>Eric</t>
        </is>
      </c>
      <c r="B30" s="0" t="inlineStr">
        <is>
          <t>Rebounding / Size</t>
        </is>
      </c>
      <c r="C30" s="0" t="n">
        <v>7</v>
      </c>
      <c r="D30" s="0" t="n">
        <v>6.923</v>
      </c>
      <c r="E30" s="0" t="n">
        <v>5</v>
      </c>
      <c r="F30" s="0" t="n">
        <v>-2</v>
      </c>
      <c r="G30" s="0" t="inlineStr">
        <is>
          <t>Original relative gaps preserved; category mean shifted to 5 and rounded to 0.5.</t>
        </is>
      </c>
    </row>
    <row r="31">
      <c r="A31" s="0" t="inlineStr">
        <is>
          <t>Eric</t>
        </is>
      </c>
      <c r="B31" s="0" t="inlineStr">
        <is>
          <t>Stamina</t>
        </is>
      </c>
      <c r="C31" s="0" t="n">
        <v>8</v>
      </c>
      <c r="D31" s="0" t="n">
        <v>7.769</v>
      </c>
      <c r="E31" s="0" t="n">
        <v>5</v>
      </c>
      <c r="F31" s="0" t="n">
        <v>-3</v>
      </c>
      <c r="G31" s="0" t="inlineStr">
        <is>
          <t>Original relative gaps preserved; category mean shifted to 5 and rounded to 0.5.</t>
        </is>
      </c>
    </row>
    <row r="32">
      <c r="A32" s="0" t="inlineStr">
        <is>
          <t>Josh</t>
        </is>
      </c>
      <c r="B32" s="0" t="inlineStr">
        <is>
          <t>Scoring</t>
        </is>
      </c>
      <c r="C32" s="0" t="n">
        <v>7</v>
      </c>
      <c r="D32" s="0" t="n">
        <v>6.846</v>
      </c>
      <c r="E32" s="0" t="n">
        <v>5</v>
      </c>
      <c r="F32" s="0" t="n">
        <v>-2</v>
      </c>
      <c r="G32" s="0" t="inlineStr">
        <is>
          <t>Original relative gaps preserved; category mean shifted to 5 and rounded to 0.5.</t>
        </is>
      </c>
    </row>
    <row r="33">
      <c r="A33" s="0" t="inlineStr">
        <is>
          <t>Josh</t>
        </is>
      </c>
      <c r="B33" s="0" t="inlineStr">
        <is>
          <t>Shooting</t>
        </is>
      </c>
      <c r="C33" s="0" t="n">
        <v>7</v>
      </c>
      <c r="D33" s="0" t="n">
        <v>6.923</v>
      </c>
      <c r="E33" s="0" t="n">
        <v>5</v>
      </c>
      <c r="F33" s="0" t="n">
        <v>-2</v>
      </c>
      <c r="G33" s="0" t="inlineStr">
        <is>
          <t>Original relative gaps preserved; category mean shifted to 5 and rounded to 0.5.</t>
        </is>
      </c>
    </row>
    <row r="34">
      <c r="A34" s="0" t="inlineStr">
        <is>
          <t>Josh</t>
        </is>
      </c>
      <c r="B34" s="0" t="inlineStr">
        <is>
          <t>Playmaking / Handle</t>
        </is>
      </c>
      <c r="C34" s="0" t="n">
        <v>5</v>
      </c>
      <c r="D34" s="0" t="n">
        <v>6.308</v>
      </c>
      <c r="E34" s="0" t="n">
        <v>3.5</v>
      </c>
      <c r="F34" s="0" t="n">
        <v>-1.5</v>
      </c>
      <c r="G34" s="0" t="inlineStr">
        <is>
          <t>Original relative gaps preserved; category mean shifted to 5 and rounded to 0.5.</t>
        </is>
      </c>
    </row>
    <row r="35">
      <c r="A35" s="0" t="inlineStr">
        <is>
          <t>Josh</t>
        </is>
      </c>
      <c r="B35" s="0" t="inlineStr">
        <is>
          <t>Defense</t>
        </is>
      </c>
      <c r="C35" s="0" t="n">
        <v>8</v>
      </c>
      <c r="D35" s="0" t="n">
        <v>6.923</v>
      </c>
      <c r="E35" s="0" t="n">
        <v>6</v>
      </c>
      <c r="F35" s="0" t="n">
        <v>-2</v>
      </c>
      <c r="G35" s="0" t="inlineStr">
        <is>
          <t>Original relative gaps preserved; category mean shifted to 5 and rounded to 0.5.</t>
        </is>
      </c>
    </row>
    <row r="36">
      <c r="A36" s="0" t="inlineStr">
        <is>
          <t>Josh</t>
        </is>
      </c>
      <c r="B36" s="0" t="inlineStr">
        <is>
          <t>Rebounding / Size</t>
        </is>
      </c>
      <c r="C36" s="0" t="n">
        <v>6</v>
      </c>
      <c r="D36" s="0" t="n">
        <v>6.923</v>
      </c>
      <c r="E36" s="0" t="n">
        <v>4</v>
      </c>
      <c r="F36" s="0" t="n">
        <v>-2</v>
      </c>
      <c r="G36" s="0" t="inlineStr">
        <is>
          <t>Original relative gaps preserved; category mean shifted to 5 and rounded to 0.5.</t>
        </is>
      </c>
    </row>
    <row r="37">
      <c r="A37" s="0" t="inlineStr">
        <is>
          <t>Josh</t>
        </is>
      </c>
      <c r="B37" s="0" t="inlineStr">
        <is>
          <t>Stamina</t>
        </is>
      </c>
      <c r="C37" s="0" t="n">
        <v>8</v>
      </c>
      <c r="D37" s="0" t="n">
        <v>7.769</v>
      </c>
      <c r="E37" s="0" t="n">
        <v>5</v>
      </c>
      <c r="F37" s="0" t="n">
        <v>-3</v>
      </c>
      <c r="G37" s="0" t="inlineStr">
        <is>
          <t>Original relative gaps preserved; category mean shifted to 5 and rounded to 0.5.</t>
        </is>
      </c>
    </row>
    <row r="38">
      <c r="A38" s="0" t="inlineStr">
        <is>
          <t>Zak</t>
        </is>
      </c>
      <c r="B38" s="0" t="inlineStr">
        <is>
          <t>Scoring</t>
        </is>
      </c>
      <c r="C38" s="0" t="n">
        <v>7</v>
      </c>
      <c r="D38" s="0" t="n">
        <v>6.846</v>
      </c>
      <c r="E38" s="0" t="n">
        <v>5</v>
      </c>
      <c r="F38" s="0" t="n">
        <v>-2</v>
      </c>
      <c r="G38" s="0" t="inlineStr">
        <is>
          <t>Original relative gaps preserved; category mean shifted to 5 and rounded to 0.5.</t>
        </is>
      </c>
    </row>
    <row r="39">
      <c r="A39" s="0" t="inlineStr">
        <is>
          <t>Zak</t>
        </is>
      </c>
      <c r="B39" s="0" t="inlineStr">
        <is>
          <t>Shooting</t>
        </is>
      </c>
      <c r="C39" s="0" t="n">
        <v>7</v>
      </c>
      <c r="D39" s="0" t="n">
        <v>6.923</v>
      </c>
      <c r="E39" s="0" t="n">
        <v>5</v>
      </c>
      <c r="F39" s="0" t="n">
        <v>-2</v>
      </c>
      <c r="G39" s="0" t="inlineStr">
        <is>
          <t>Original relative gaps preserved; category mean shifted to 5 and rounded to 0.5.</t>
        </is>
      </c>
    </row>
    <row r="40">
      <c r="A40" s="0" t="inlineStr">
        <is>
          <t>Zak</t>
        </is>
      </c>
      <c r="B40" s="0" t="inlineStr">
        <is>
          <t>Playmaking / Handle</t>
        </is>
      </c>
      <c r="C40" s="0" t="n">
        <v>8</v>
      </c>
      <c r="D40" s="0" t="n">
        <v>6.308</v>
      </c>
      <c r="E40" s="0" t="n">
        <v>6.5</v>
      </c>
      <c r="F40" s="0" t="n">
        <v>-1.5</v>
      </c>
      <c r="G40" s="0" t="inlineStr">
        <is>
          <t>Original relative gaps preserved; category mean shifted to 5 and rounded to 0.5.</t>
        </is>
      </c>
    </row>
    <row r="41">
      <c r="A41" s="0" t="inlineStr">
        <is>
          <t>Zak</t>
        </is>
      </c>
      <c r="B41" s="0" t="inlineStr">
        <is>
          <t>Defense</t>
        </is>
      </c>
      <c r="C41" s="0" t="n">
        <v>8</v>
      </c>
      <c r="D41" s="0" t="n">
        <v>6.923</v>
      </c>
      <c r="E41" s="0" t="n">
        <v>6</v>
      </c>
      <c r="F41" s="0" t="n">
        <v>-2</v>
      </c>
      <c r="G41" s="0" t="inlineStr">
        <is>
          <t>Original relative gaps preserved; category mean shifted to 5 and rounded to 0.5.</t>
        </is>
      </c>
    </row>
    <row r="42">
      <c r="A42" s="0" t="inlineStr">
        <is>
          <t>Zak</t>
        </is>
      </c>
      <c r="B42" s="0" t="inlineStr">
        <is>
          <t>Rebounding / Size</t>
        </is>
      </c>
      <c r="C42" s="0" t="n">
        <v>7</v>
      </c>
      <c r="D42" s="0" t="n">
        <v>6.923</v>
      </c>
      <c r="E42" s="0" t="n">
        <v>5</v>
      </c>
      <c r="F42" s="0" t="n">
        <v>-2</v>
      </c>
      <c r="G42" s="0" t="inlineStr">
        <is>
          <t>Original relative gaps preserved; category mean shifted to 5 and rounded to 0.5.</t>
        </is>
      </c>
    </row>
    <row r="43">
      <c r="A43" s="0" t="inlineStr">
        <is>
          <t>Zak</t>
        </is>
      </c>
      <c r="B43" s="0" t="inlineStr">
        <is>
          <t>Stamina</t>
        </is>
      </c>
      <c r="C43" s="0" t="n">
        <v>10</v>
      </c>
      <c r="D43" s="0" t="n">
        <v>7.769</v>
      </c>
      <c r="E43" s="0" t="n">
        <v>7</v>
      </c>
      <c r="F43" s="0" t="n">
        <v>-3</v>
      </c>
      <c r="G43" s="0" t="inlineStr">
        <is>
          <t>Original relative gaps preserved; category mean shifted to 5 and rounded to 0.5.</t>
        </is>
      </c>
    </row>
    <row r="44">
      <c r="A44" s="0" t="inlineStr">
        <is>
          <t>James</t>
        </is>
      </c>
      <c r="B44" s="0" t="inlineStr">
        <is>
          <t>Scoring</t>
        </is>
      </c>
      <c r="C44" s="0" t="n">
        <v>3</v>
      </c>
      <c r="D44" s="0" t="n">
        <v>6.846</v>
      </c>
      <c r="E44" s="0" t="n">
        <v>1</v>
      </c>
      <c r="F44" s="0" t="n">
        <v>-2</v>
      </c>
      <c r="G44" s="0" t="inlineStr">
        <is>
          <t>Original relative gaps preserved; category mean shifted to 5 and rounded to 0.5.</t>
        </is>
      </c>
    </row>
    <row r="45">
      <c r="A45" s="0" t="inlineStr">
        <is>
          <t>James</t>
        </is>
      </c>
      <c r="B45" s="0" t="inlineStr">
        <is>
          <t>Shooting</t>
        </is>
      </c>
      <c r="C45" s="0" t="n">
        <v>7</v>
      </c>
      <c r="D45" s="0" t="n">
        <v>6.923</v>
      </c>
      <c r="E45" s="0" t="n">
        <v>5</v>
      </c>
      <c r="F45" s="0" t="n">
        <v>-2</v>
      </c>
      <c r="G45" s="0" t="inlineStr">
        <is>
          <t>Original relative gaps preserved; category mean shifted to 5 and rounded to 0.5.</t>
        </is>
      </c>
    </row>
    <row r="46">
      <c r="A46" s="0" t="inlineStr">
        <is>
          <t>James</t>
        </is>
      </c>
      <c r="B46" s="0" t="inlineStr">
        <is>
          <t>Playmaking / Handle</t>
        </is>
      </c>
      <c r="C46" s="0" t="n">
        <v>3</v>
      </c>
      <c r="D46" s="0" t="n">
        <v>6.308</v>
      </c>
      <c r="E46" s="0" t="n">
        <v>1.5</v>
      </c>
      <c r="F46" s="0" t="n">
        <v>-1.5</v>
      </c>
      <c r="G46" s="0" t="inlineStr">
        <is>
          <t>Original relative gaps preserved; category mean shifted to 5 and rounded to 0.5.</t>
        </is>
      </c>
    </row>
    <row r="47">
      <c r="A47" s="0" t="inlineStr">
        <is>
          <t>James</t>
        </is>
      </c>
      <c r="B47" s="0" t="inlineStr">
        <is>
          <t>Defense</t>
        </is>
      </c>
      <c r="C47" s="0" t="n">
        <v>5</v>
      </c>
      <c r="D47" s="0" t="n">
        <v>6.923</v>
      </c>
      <c r="E47" s="0" t="n">
        <v>3</v>
      </c>
      <c r="F47" s="0" t="n">
        <v>-2</v>
      </c>
      <c r="G47" s="0" t="inlineStr">
        <is>
          <t>Original relative gaps preserved; category mean shifted to 5 and rounded to 0.5.</t>
        </is>
      </c>
    </row>
    <row r="48">
      <c r="A48" s="0" t="inlineStr">
        <is>
          <t>James</t>
        </is>
      </c>
      <c r="B48" s="0" t="inlineStr">
        <is>
          <t>Rebounding / Size</t>
        </is>
      </c>
      <c r="C48" s="0" t="n">
        <v>9</v>
      </c>
      <c r="D48" s="0" t="n">
        <v>6.923</v>
      </c>
      <c r="E48" s="0" t="n">
        <v>7</v>
      </c>
      <c r="F48" s="0" t="n">
        <v>-2</v>
      </c>
      <c r="G48" s="0" t="inlineStr">
        <is>
          <t>Original relative gaps preserved; category mean shifted to 5 and rounded to 0.5.</t>
        </is>
      </c>
    </row>
    <row r="49">
      <c r="A49" s="0" t="inlineStr">
        <is>
          <t>James</t>
        </is>
      </c>
      <c r="B49" s="0" t="inlineStr">
        <is>
          <t>Stamina</t>
        </is>
      </c>
      <c r="C49" s="0" t="n">
        <v>9</v>
      </c>
      <c r="D49" s="0" t="n">
        <v>7.769</v>
      </c>
      <c r="E49" s="0" t="n">
        <v>6</v>
      </c>
      <c r="F49" s="0" t="n">
        <v>-3</v>
      </c>
      <c r="G49" s="0" t="inlineStr">
        <is>
          <t>Original relative gaps preserved; category mean shifted to 5 and rounded to 0.5.</t>
        </is>
      </c>
    </row>
    <row r="50">
      <c r="A50" s="0" t="inlineStr">
        <is>
          <t>Emil</t>
        </is>
      </c>
      <c r="B50" s="0" t="inlineStr">
        <is>
          <t>Scoring</t>
        </is>
      </c>
      <c r="C50" s="0" t="n">
        <v>9</v>
      </c>
      <c r="D50" s="0" t="n">
        <v>6.846</v>
      </c>
      <c r="E50" s="0" t="n">
        <v>7</v>
      </c>
      <c r="F50" s="0" t="n">
        <v>-2</v>
      </c>
      <c r="G50" s="0" t="inlineStr">
        <is>
          <t>Original relative gaps preserved; category mean shifted to 5 and rounded to 0.5.</t>
        </is>
      </c>
    </row>
    <row r="51">
      <c r="A51" s="0" t="inlineStr">
        <is>
          <t>Emil</t>
        </is>
      </c>
      <c r="B51" s="0" t="inlineStr">
        <is>
          <t>Shooting</t>
        </is>
      </c>
      <c r="C51" s="0" t="n">
        <v>9</v>
      </c>
      <c r="D51" s="0" t="n">
        <v>6.923</v>
      </c>
      <c r="E51" s="0" t="n">
        <v>7</v>
      </c>
      <c r="F51" s="0" t="n">
        <v>-2</v>
      </c>
      <c r="G51" s="0" t="inlineStr">
        <is>
          <t>Original relative gaps preserved; category mean shifted to 5 and rounded to 0.5.</t>
        </is>
      </c>
    </row>
    <row r="52">
      <c r="A52" s="0" t="inlineStr">
        <is>
          <t>Emil</t>
        </is>
      </c>
      <c r="B52" s="0" t="inlineStr">
        <is>
          <t>Playmaking / Handle</t>
        </is>
      </c>
      <c r="C52" s="0" t="n">
        <v>7</v>
      </c>
      <c r="D52" s="0" t="n">
        <v>6.308</v>
      </c>
      <c r="E52" s="0" t="n">
        <v>5.5</v>
      </c>
      <c r="F52" s="0" t="n">
        <v>-1.5</v>
      </c>
      <c r="G52" s="0" t="inlineStr">
        <is>
          <t>Original relative gaps preserved; category mean shifted to 5 and rounded to 0.5.</t>
        </is>
      </c>
    </row>
    <row r="53">
      <c r="A53" s="0" t="inlineStr">
        <is>
          <t>Emil</t>
        </is>
      </c>
      <c r="B53" s="0" t="inlineStr">
        <is>
          <t>Defense</t>
        </is>
      </c>
      <c r="C53" s="0" t="n">
        <v>9</v>
      </c>
      <c r="D53" s="0" t="n">
        <v>6.923</v>
      </c>
      <c r="E53" s="0" t="n">
        <v>7</v>
      </c>
      <c r="F53" s="0" t="n">
        <v>-2</v>
      </c>
      <c r="G53" s="0" t="inlineStr">
        <is>
          <t>Original relative gaps preserved; category mean shifted to 5 and rounded to 0.5.</t>
        </is>
      </c>
    </row>
    <row r="54">
      <c r="A54" s="0" t="inlineStr">
        <is>
          <t>Emil</t>
        </is>
      </c>
      <c r="B54" s="0" t="inlineStr">
        <is>
          <t>Rebounding / Size</t>
        </is>
      </c>
      <c r="C54" s="0" t="n">
        <v>9</v>
      </c>
      <c r="D54" s="0" t="n">
        <v>6.923</v>
      </c>
      <c r="E54" s="0" t="n">
        <v>7</v>
      </c>
      <c r="F54" s="0" t="n">
        <v>-2</v>
      </c>
      <c r="G54" s="0" t="inlineStr">
        <is>
          <t>Original relative gaps preserved; category mean shifted to 5 and rounded to 0.5.</t>
        </is>
      </c>
    </row>
    <row r="55">
      <c r="A55" s="0" t="inlineStr">
        <is>
          <t>Emil</t>
        </is>
      </c>
      <c r="B55" s="0" t="inlineStr">
        <is>
          <t>Stamina</t>
        </is>
      </c>
      <c r="C55" s="0" t="n">
        <v>8</v>
      </c>
      <c r="D55" s="0" t="n">
        <v>7.769</v>
      </c>
      <c r="E55" s="0" t="n">
        <v>5</v>
      </c>
      <c r="F55" s="0" t="n">
        <v>-3</v>
      </c>
      <c r="G55" s="0" t="inlineStr">
        <is>
          <t>Original relative gaps preserved; category mean shifted to 5 and rounded to 0.5.</t>
        </is>
      </c>
    </row>
    <row r="56">
      <c r="A56" s="0" t="inlineStr">
        <is>
          <t>Darryl</t>
        </is>
      </c>
      <c r="B56" s="0" t="inlineStr">
        <is>
          <t>Scoring</t>
        </is>
      </c>
      <c r="C56" s="0" t="n">
        <v>9</v>
      </c>
      <c r="D56" s="0" t="n">
        <v>6.846</v>
      </c>
      <c r="E56" s="0" t="n">
        <v>7</v>
      </c>
      <c r="F56" s="0" t="n">
        <v>-2</v>
      </c>
      <c r="G56" s="0" t="inlineStr">
        <is>
          <t>Original relative gaps preserved; category mean shifted to 5 and rounded to 0.5.</t>
        </is>
      </c>
    </row>
    <row r="57">
      <c r="A57" s="0" t="inlineStr">
        <is>
          <t>Darryl</t>
        </is>
      </c>
      <c r="B57" s="0" t="inlineStr">
        <is>
          <t>Shooting</t>
        </is>
      </c>
      <c r="C57" s="0" t="n">
        <v>7</v>
      </c>
      <c r="D57" s="0" t="n">
        <v>6.923</v>
      </c>
      <c r="E57" s="0" t="n">
        <v>5</v>
      </c>
      <c r="F57" s="0" t="n">
        <v>-2</v>
      </c>
      <c r="G57" s="0" t="inlineStr">
        <is>
          <t>Original relative gaps preserved; category mean shifted to 5 and rounded to 0.5.</t>
        </is>
      </c>
    </row>
    <row r="58">
      <c r="A58" s="0" t="inlineStr">
        <is>
          <t>Darryl</t>
        </is>
      </c>
      <c r="B58" s="0" t="inlineStr">
        <is>
          <t>Playmaking / Handle</t>
        </is>
      </c>
      <c r="C58" s="0" t="n">
        <v>6</v>
      </c>
      <c r="D58" s="0" t="n">
        <v>6.308</v>
      </c>
      <c r="E58" s="0" t="n">
        <v>4.5</v>
      </c>
      <c r="F58" s="0" t="n">
        <v>-1.5</v>
      </c>
      <c r="G58" s="0" t="inlineStr">
        <is>
          <t>Original relative gaps preserved; category mean shifted to 5 and rounded to 0.5.</t>
        </is>
      </c>
    </row>
    <row r="59">
      <c r="A59" s="0" t="inlineStr">
        <is>
          <t>Darryl</t>
        </is>
      </c>
      <c r="B59" s="0" t="inlineStr">
        <is>
          <t>Defense</t>
        </is>
      </c>
      <c r="C59" s="0" t="n">
        <v>8</v>
      </c>
      <c r="D59" s="0" t="n">
        <v>6.923</v>
      </c>
      <c r="E59" s="0" t="n">
        <v>6</v>
      </c>
      <c r="F59" s="0" t="n">
        <v>-2</v>
      </c>
      <c r="G59" s="0" t="inlineStr">
        <is>
          <t>Original relative gaps preserved; category mean shifted to 5 and rounded to 0.5.</t>
        </is>
      </c>
    </row>
    <row r="60">
      <c r="A60" s="0" t="inlineStr">
        <is>
          <t>Darryl</t>
        </is>
      </c>
      <c r="B60" s="0" t="inlineStr">
        <is>
          <t>Rebounding / Size</t>
        </is>
      </c>
      <c r="C60" s="0" t="n">
        <v>7</v>
      </c>
      <c r="D60" s="0" t="n">
        <v>6.923</v>
      </c>
      <c r="E60" s="0" t="n">
        <v>5</v>
      </c>
      <c r="F60" s="0" t="n">
        <v>-2</v>
      </c>
      <c r="G60" s="0" t="inlineStr">
        <is>
          <t>Original relative gaps preserved; category mean shifted to 5 and rounded to 0.5.</t>
        </is>
      </c>
    </row>
    <row r="61">
      <c r="A61" s="0" t="inlineStr">
        <is>
          <t>Darryl</t>
        </is>
      </c>
      <c r="B61" s="0" t="inlineStr">
        <is>
          <t>Stamina</t>
        </is>
      </c>
      <c r="C61" s="0" t="n">
        <v>5</v>
      </c>
      <c r="D61" s="0" t="n">
        <v>7.769</v>
      </c>
      <c r="E61" s="0" t="n">
        <v>2</v>
      </c>
      <c r="F61" s="0" t="n">
        <v>-3</v>
      </c>
      <c r="G61" s="0" t="inlineStr">
        <is>
          <t>Original relative gaps preserved; category mean shifted to 5 and rounded to 0.5.</t>
        </is>
      </c>
    </row>
    <row r="62">
      <c r="A62" s="0" t="inlineStr">
        <is>
          <t>Berler</t>
        </is>
      </c>
      <c r="B62" s="0" t="inlineStr">
        <is>
          <t>Scoring</t>
        </is>
      </c>
      <c r="C62" s="0" t="n">
        <v>5</v>
      </c>
      <c r="D62" s="0" t="n">
        <v>6.846</v>
      </c>
      <c r="E62" s="0" t="n">
        <v>3</v>
      </c>
      <c r="F62" s="0" t="n">
        <v>-2</v>
      </c>
      <c r="G62" s="0" t="inlineStr">
        <is>
          <t>Original relative gaps preserved; category mean shifted to 5 and rounded to 0.5.</t>
        </is>
      </c>
    </row>
    <row r="63">
      <c r="A63" s="0" t="inlineStr">
        <is>
          <t>Berler</t>
        </is>
      </c>
      <c r="B63" s="0" t="inlineStr">
        <is>
          <t>Shooting</t>
        </is>
      </c>
      <c r="C63" s="0" t="n">
        <v>5</v>
      </c>
      <c r="D63" s="0" t="n">
        <v>6.923</v>
      </c>
      <c r="E63" s="0" t="n">
        <v>3</v>
      </c>
      <c r="F63" s="0" t="n">
        <v>-2</v>
      </c>
      <c r="G63" s="0" t="inlineStr">
        <is>
          <t>Original relative gaps preserved; category mean shifted to 5 and rounded to 0.5.</t>
        </is>
      </c>
    </row>
    <row r="64">
      <c r="A64" s="0" t="inlineStr">
        <is>
          <t>Berler</t>
        </is>
      </c>
      <c r="B64" s="0" t="inlineStr">
        <is>
          <t>Playmaking / Handle</t>
        </is>
      </c>
      <c r="C64" s="0" t="n">
        <v>5</v>
      </c>
      <c r="D64" s="0" t="n">
        <v>6.308</v>
      </c>
      <c r="E64" s="0" t="n">
        <v>3.5</v>
      </c>
      <c r="F64" s="0" t="n">
        <v>-1.5</v>
      </c>
      <c r="G64" s="0" t="inlineStr">
        <is>
          <t>Original relative gaps preserved; category mean shifted to 5 and rounded to 0.5.</t>
        </is>
      </c>
    </row>
    <row r="65">
      <c r="A65" s="0" t="inlineStr">
        <is>
          <t>Berler</t>
        </is>
      </c>
      <c r="B65" s="0" t="inlineStr">
        <is>
          <t>Defense</t>
        </is>
      </c>
      <c r="C65" s="0" t="n">
        <v>7</v>
      </c>
      <c r="D65" s="0" t="n">
        <v>6.923</v>
      </c>
      <c r="E65" s="0" t="n">
        <v>5</v>
      </c>
      <c r="F65" s="0" t="n">
        <v>-2</v>
      </c>
      <c r="G65" s="0" t="inlineStr">
        <is>
          <t>Original relative gaps preserved; category mean shifted to 5 and rounded to 0.5.</t>
        </is>
      </c>
    </row>
    <row r="66">
      <c r="A66" s="0" t="inlineStr">
        <is>
          <t>Berler</t>
        </is>
      </c>
      <c r="B66" s="0" t="inlineStr">
        <is>
          <t>Rebounding / Size</t>
        </is>
      </c>
      <c r="C66" s="0" t="n">
        <v>7</v>
      </c>
      <c r="D66" s="0" t="n">
        <v>6.923</v>
      </c>
      <c r="E66" s="0" t="n">
        <v>5</v>
      </c>
      <c r="F66" s="0" t="n">
        <v>-2</v>
      </c>
      <c r="G66" s="0" t="inlineStr">
        <is>
          <t>Original relative gaps preserved; category mean shifted to 5 and rounded to 0.5.</t>
        </is>
      </c>
    </row>
    <row r="67">
      <c r="A67" s="0" t="inlineStr">
        <is>
          <t>Berler</t>
        </is>
      </c>
      <c r="B67" s="0" t="inlineStr">
        <is>
          <t>Stamina</t>
        </is>
      </c>
      <c r="C67" s="0" t="n">
        <v>8</v>
      </c>
      <c r="D67" s="0" t="n">
        <v>7.769</v>
      </c>
      <c r="E67" s="0" t="n">
        <v>5</v>
      </c>
      <c r="F67" s="0" t="n">
        <v>-3</v>
      </c>
      <c r="G67" s="0" t="inlineStr">
        <is>
          <t>Original relative gaps preserved; category mean shifted to 5 and rounded to 0.5.</t>
        </is>
      </c>
    </row>
    <row r="68">
      <c r="A68" s="0" t="inlineStr">
        <is>
          <t>Alan</t>
        </is>
      </c>
      <c r="B68" s="0" t="inlineStr">
        <is>
          <t>Scoring</t>
        </is>
      </c>
      <c r="C68" s="0" t="n">
        <v>7</v>
      </c>
      <c r="D68" s="0" t="n">
        <v>6.846</v>
      </c>
      <c r="E68" s="0" t="n">
        <v>5</v>
      </c>
      <c r="F68" s="0" t="n">
        <v>-2</v>
      </c>
      <c r="G68" s="0" t="inlineStr">
        <is>
          <t>Original relative gaps preserved; category mean shifted to 5 and rounded to 0.5.</t>
        </is>
      </c>
    </row>
    <row r="69">
      <c r="A69" s="0" t="inlineStr">
        <is>
          <t>Alan</t>
        </is>
      </c>
      <c r="B69" s="0" t="inlineStr">
        <is>
          <t>Shooting</t>
        </is>
      </c>
      <c r="C69" s="0" t="n">
        <v>6</v>
      </c>
      <c r="D69" s="0" t="n">
        <v>6.923</v>
      </c>
      <c r="E69" s="0" t="n">
        <v>4</v>
      </c>
      <c r="F69" s="0" t="n">
        <v>-2</v>
      </c>
      <c r="G69" s="0" t="inlineStr">
        <is>
          <t>Original relative gaps preserved; category mean shifted to 5 and rounded to 0.5.</t>
        </is>
      </c>
    </row>
    <row r="70">
      <c r="A70" s="0" t="inlineStr">
        <is>
          <t>Alan</t>
        </is>
      </c>
      <c r="B70" s="0" t="inlineStr">
        <is>
          <t>Playmaking / Handle</t>
        </is>
      </c>
      <c r="C70" s="0" t="n">
        <v>6</v>
      </c>
      <c r="D70" s="0" t="n">
        <v>6.308</v>
      </c>
      <c r="E70" s="0" t="n">
        <v>4.5</v>
      </c>
      <c r="F70" s="0" t="n">
        <v>-1.5</v>
      </c>
      <c r="G70" s="0" t="inlineStr">
        <is>
          <t>Original relative gaps preserved; category mean shifted to 5 and rounded to 0.5.</t>
        </is>
      </c>
    </row>
    <row r="71">
      <c r="A71" s="0" t="inlineStr">
        <is>
          <t>Alan</t>
        </is>
      </c>
      <c r="B71" s="0" t="inlineStr">
        <is>
          <t>Defense</t>
        </is>
      </c>
      <c r="C71" s="0" t="n">
        <v>6</v>
      </c>
      <c r="D71" s="0" t="n">
        <v>6.923</v>
      </c>
      <c r="E71" s="0" t="n">
        <v>4</v>
      </c>
      <c r="F71" s="0" t="n">
        <v>-2</v>
      </c>
      <c r="G71" s="0" t="inlineStr">
        <is>
          <t>Original relative gaps preserved; category mean shifted to 5 and rounded to 0.5.</t>
        </is>
      </c>
    </row>
    <row r="72">
      <c r="A72" s="0" t="inlineStr">
        <is>
          <t>Alan</t>
        </is>
      </c>
      <c r="B72" s="0" t="inlineStr">
        <is>
          <t>Rebounding / Size</t>
        </is>
      </c>
      <c r="C72" s="0" t="n">
        <v>5</v>
      </c>
      <c r="D72" s="0" t="n">
        <v>6.923</v>
      </c>
      <c r="E72" s="0" t="n">
        <v>3</v>
      </c>
      <c r="F72" s="0" t="n">
        <v>-2</v>
      </c>
      <c r="G72" s="0" t="inlineStr">
        <is>
          <t>Original relative gaps preserved; category mean shifted to 5 and rounded to 0.5.</t>
        </is>
      </c>
    </row>
    <row r="73">
      <c r="A73" s="0" t="inlineStr">
        <is>
          <t>Alan</t>
        </is>
      </c>
      <c r="B73" s="0" t="inlineStr">
        <is>
          <t>Stamina</t>
        </is>
      </c>
      <c r="C73" s="0" t="n">
        <v>10</v>
      </c>
      <c r="D73" s="0" t="n">
        <v>7.769</v>
      </c>
      <c r="E73" s="0" t="n">
        <v>7</v>
      </c>
      <c r="F73" s="0" t="n">
        <v>-3</v>
      </c>
      <c r="G73" s="0" t="inlineStr">
        <is>
          <t>Original relative gaps preserved; category mean shifted to 5 and rounded to 0.5.</t>
        </is>
      </c>
    </row>
    <row r="74">
      <c r="A74" s="0" t="inlineStr">
        <is>
          <t>Brad</t>
        </is>
      </c>
      <c r="B74" s="0" t="inlineStr">
        <is>
          <t>Scoring</t>
        </is>
      </c>
      <c r="C74" s="0" t="n">
        <v>8</v>
      </c>
      <c r="D74" s="0" t="n">
        <v>6.846</v>
      </c>
      <c r="E74" s="0" t="n">
        <v>6</v>
      </c>
      <c r="F74" s="0" t="n">
        <v>-2</v>
      </c>
      <c r="G74" s="0" t="inlineStr">
        <is>
          <t>Original relative gaps preserved; category mean shifted to 5 and rounded to 0.5.</t>
        </is>
      </c>
    </row>
    <row r="75">
      <c r="A75" s="0" t="inlineStr">
        <is>
          <t>Brad</t>
        </is>
      </c>
      <c r="B75" s="0" t="inlineStr">
        <is>
          <t>Shooting</t>
        </is>
      </c>
      <c r="C75" s="0" t="n">
        <v>9</v>
      </c>
      <c r="D75" s="0" t="n">
        <v>6.923</v>
      </c>
      <c r="E75" s="0" t="n">
        <v>7</v>
      </c>
      <c r="F75" s="0" t="n">
        <v>-2</v>
      </c>
      <c r="G75" s="0" t="inlineStr">
        <is>
          <t>Original relative gaps preserved; category mean shifted to 5 and rounded to 0.5.</t>
        </is>
      </c>
    </row>
    <row r="76">
      <c r="A76" s="0" t="inlineStr">
        <is>
          <t>Brad</t>
        </is>
      </c>
      <c r="B76" s="0" t="inlineStr">
        <is>
          <t>Playmaking / Handle</t>
        </is>
      </c>
      <c r="C76" s="0" t="n">
        <v>8</v>
      </c>
      <c r="D76" s="0" t="n">
        <v>6.308</v>
      </c>
      <c r="E76" s="0" t="n">
        <v>6.5</v>
      </c>
      <c r="F76" s="0" t="n">
        <v>-1.5</v>
      </c>
      <c r="G76" s="0" t="inlineStr">
        <is>
          <t>Original relative gaps preserved; category mean shifted to 5 and rounded to 0.5.</t>
        </is>
      </c>
    </row>
    <row r="77">
      <c r="A77" s="0" t="inlineStr">
        <is>
          <t>Brad</t>
        </is>
      </c>
      <c r="B77" s="0" t="inlineStr">
        <is>
          <t>Defense</t>
        </is>
      </c>
      <c r="C77" s="0" t="n">
        <v>6</v>
      </c>
      <c r="D77" s="0" t="n">
        <v>6.923</v>
      </c>
      <c r="E77" s="0" t="n">
        <v>4</v>
      </c>
      <c r="F77" s="0" t="n">
        <v>-2</v>
      </c>
      <c r="G77" s="0" t="inlineStr">
        <is>
          <t>Original relative gaps preserved; category mean shifted to 5 and rounded to 0.5.</t>
        </is>
      </c>
    </row>
    <row r="78">
      <c r="A78" s="0" t="inlineStr">
        <is>
          <t>Brad</t>
        </is>
      </c>
      <c r="B78" s="0" t="inlineStr">
        <is>
          <t>Rebounding / Size</t>
        </is>
      </c>
      <c r="C78" s="0" t="n">
        <v>5</v>
      </c>
      <c r="D78" s="0" t="n">
        <v>6.923</v>
      </c>
      <c r="E78" s="0" t="n">
        <v>3</v>
      </c>
      <c r="F78" s="0" t="n">
        <v>-2</v>
      </c>
      <c r="G78" s="0" t="inlineStr">
        <is>
          <t>Original relative gaps preserved; category mean shifted to 5 and rounded to 0.5.</t>
        </is>
      </c>
    </row>
    <row r="79">
      <c r="A79" s="0" t="inlineStr">
        <is>
          <t>Brad</t>
        </is>
      </c>
      <c r="B79" s="0" t="inlineStr">
        <is>
          <t>Stamina</t>
        </is>
      </c>
      <c r="C79" s="0" t="n">
        <v>6</v>
      </c>
      <c r="D79" s="0" t="n">
        <v>7.769</v>
      </c>
      <c r="E79" s="0" t="n">
        <v>3</v>
      </c>
      <c r="F79" s="0" t="n">
        <v>-3</v>
      </c>
      <c r="G79" s="0" t="inlineStr">
        <is>
          <t>Original relative gaps preserved; category mean shifted to 5 and rounded to 0.5.</t>
        </is>
      </c>
    </row>
  </sheetData>
  <autoFilter ref="A1:G1"/>
  <conditionalFormatting sqref="E2:E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.71" customWidth="1" style="19" min="1" max="1"/>
    <col width="12.71" customWidth="1" style="19" min="2" max="2"/>
    <col width="8.710000000000001" customWidth="1" style="19" min="3" max="3"/>
    <col width="18.71" customWidth="1" style="19" min="4" max="4"/>
    <col width="12.71" customWidth="1" style="19" min="5" max="5"/>
    <col width="70.70999999999999" customWidth="1" style="19" min="6" max="6"/>
    <col width="8.710000000000001" customWidth="1" style="19" min="7" max="26"/>
  </cols>
  <sheetData>
    <row r="1">
      <c r="A1" s="9" t="inlineStr">
        <is>
          <t>Scenario</t>
        </is>
      </c>
      <c r="B1" s="9" t="inlineStr">
        <is>
          <t>Team</t>
        </is>
      </c>
      <c r="C1" s="9" t="inlineStr">
        <is>
          <t>Slot</t>
        </is>
      </c>
      <c r="D1" s="9" t="inlineStr">
        <is>
          <t>Player</t>
        </is>
      </c>
      <c r="E1" s="9" t="inlineStr">
        <is>
          <t>Active?</t>
        </is>
      </c>
      <c r="F1" s="9" t="inlineStr">
        <is>
          <t>Notes</t>
        </is>
      </c>
    </row>
    <row r="2">
      <c r="A2" s="4" t="inlineStr">
        <is>
          <t>Brad Out</t>
        </is>
      </c>
      <c r="B2" s="4" t="inlineStr">
        <is>
          <t>Team A</t>
        </is>
      </c>
      <c r="C2" s="4" t="n">
        <v>1</v>
      </c>
      <c r="D2" s="4" t="inlineStr">
        <is>
          <t>Alex</t>
        </is>
      </c>
      <c r="E2" s="14" t="inlineStr">
        <is>
          <t>Yes</t>
        </is>
      </c>
      <c r="F2" s="4" t="n"/>
    </row>
    <row r="3">
      <c r="A3" s="4" t="inlineStr">
        <is>
          <t>Brad Out</t>
        </is>
      </c>
      <c r="B3" s="4" t="inlineStr">
        <is>
          <t>Team A</t>
        </is>
      </c>
      <c r="C3" s="4" t="n">
        <v>2</v>
      </c>
      <c r="D3" s="4" t="inlineStr">
        <is>
          <t>Peter</t>
        </is>
      </c>
      <c r="E3" s="14" t="inlineStr">
        <is>
          <t>Yes</t>
        </is>
      </c>
      <c r="F3" s="4" t="n"/>
    </row>
    <row r="4">
      <c r="A4" s="4" t="inlineStr">
        <is>
          <t>Brad Out</t>
        </is>
      </c>
      <c r="B4" s="4" t="inlineStr">
        <is>
          <t>Team A</t>
        </is>
      </c>
      <c r="C4" s="4" t="n">
        <v>3</v>
      </c>
      <c r="D4" s="4" t="inlineStr">
        <is>
          <t>Andrew</t>
        </is>
      </c>
      <c r="E4" s="14" t="inlineStr">
        <is>
          <t>Yes</t>
        </is>
      </c>
      <c r="F4" s="4" t="n"/>
    </row>
    <row r="5">
      <c r="A5" s="4" t="inlineStr">
        <is>
          <t>Brad Out</t>
        </is>
      </c>
      <c r="B5" s="4" t="inlineStr">
        <is>
          <t>Team A</t>
        </is>
      </c>
      <c r="C5" s="4" t="n">
        <v>4</v>
      </c>
      <c r="D5" s="4" t="inlineStr">
        <is>
          <t>Jason</t>
        </is>
      </c>
      <c r="E5" s="14" t="inlineStr">
        <is>
          <t>Yes</t>
        </is>
      </c>
      <c r="F5" s="4" t="n"/>
    </row>
    <row r="6">
      <c r="A6" s="4" t="inlineStr">
        <is>
          <t>Brad Out</t>
        </is>
      </c>
      <c r="B6" s="4" t="inlineStr">
        <is>
          <t>Team B</t>
        </is>
      </c>
      <c r="C6" s="4" t="n">
        <v>1</v>
      </c>
      <c r="D6" s="4" t="inlineStr">
        <is>
          <t>Eric</t>
        </is>
      </c>
      <c r="E6" s="14" t="inlineStr">
        <is>
          <t>Yes</t>
        </is>
      </c>
      <c r="F6" s="4" t="n"/>
    </row>
    <row r="7">
      <c r="A7" s="4" t="inlineStr">
        <is>
          <t>Brad Out</t>
        </is>
      </c>
      <c r="B7" s="4" t="inlineStr">
        <is>
          <t>Team B</t>
        </is>
      </c>
      <c r="C7" s="4" t="n">
        <v>2</v>
      </c>
      <c r="D7" s="4" t="inlineStr">
        <is>
          <t>Josh</t>
        </is>
      </c>
      <c r="E7" s="14" t="inlineStr">
        <is>
          <t>Yes</t>
        </is>
      </c>
      <c r="F7" s="4" t="n"/>
    </row>
    <row r="8">
      <c r="A8" s="4" t="inlineStr">
        <is>
          <t>Brad Out</t>
        </is>
      </c>
      <c r="B8" s="4" t="inlineStr">
        <is>
          <t>Team B</t>
        </is>
      </c>
      <c r="C8" s="4" t="n">
        <v>3</v>
      </c>
      <c r="D8" s="4" t="inlineStr">
        <is>
          <t>Zak</t>
        </is>
      </c>
      <c r="E8" s="14" t="inlineStr">
        <is>
          <t>Yes</t>
        </is>
      </c>
      <c r="F8" s="4" t="n"/>
    </row>
    <row r="9">
      <c r="A9" s="4" t="inlineStr">
        <is>
          <t>Brad Out</t>
        </is>
      </c>
      <c r="B9" s="4" t="inlineStr">
        <is>
          <t>Team B</t>
        </is>
      </c>
      <c r="C9" s="4" t="n">
        <v>4</v>
      </c>
      <c r="D9" s="4" t="inlineStr">
        <is>
          <t>James</t>
        </is>
      </c>
      <c r="E9" s="14" t="inlineStr">
        <is>
          <t>Yes</t>
        </is>
      </c>
      <c r="F9" s="4" t="n"/>
    </row>
    <row r="10">
      <c r="A10" s="4" t="inlineStr">
        <is>
          <t>Brad Out</t>
        </is>
      </c>
      <c r="B10" s="4" t="inlineStr">
        <is>
          <t>Team C</t>
        </is>
      </c>
      <c r="C10" s="4" t="n">
        <v>1</v>
      </c>
      <c r="D10" s="4" t="inlineStr">
        <is>
          <t>Emil</t>
        </is>
      </c>
      <c r="E10" s="14" t="inlineStr">
        <is>
          <t>Yes</t>
        </is>
      </c>
      <c r="F10" s="4" t="n"/>
    </row>
    <row r="11">
      <c r="A11" s="4" t="inlineStr">
        <is>
          <t>Brad Out</t>
        </is>
      </c>
      <c r="B11" s="4" t="inlineStr">
        <is>
          <t>Team C</t>
        </is>
      </c>
      <c r="C11" s="4" t="n">
        <v>2</v>
      </c>
      <c r="D11" s="4" t="inlineStr">
        <is>
          <t>Darryl</t>
        </is>
      </c>
      <c r="E11" s="14" t="inlineStr">
        <is>
          <t>Yes</t>
        </is>
      </c>
      <c r="F11" s="4" t="n"/>
    </row>
    <row r="12">
      <c r="A12" s="4" t="inlineStr">
        <is>
          <t>Brad Out</t>
        </is>
      </c>
      <c r="B12" s="4" t="inlineStr">
        <is>
          <t>Team C</t>
        </is>
      </c>
      <c r="C12" s="4" t="n">
        <v>3</v>
      </c>
      <c r="D12" s="4" t="inlineStr">
        <is>
          <t>Berler</t>
        </is>
      </c>
      <c r="E12" s="14" t="inlineStr">
        <is>
          <t>Yes</t>
        </is>
      </c>
      <c r="F12" s="4" t="n"/>
    </row>
    <row r="13">
      <c r="A13" s="4" t="inlineStr">
        <is>
          <t>Brad Out</t>
        </is>
      </c>
      <c r="B13" s="4" t="inlineStr">
        <is>
          <t>Team C</t>
        </is>
      </c>
      <c r="C13" s="4" t="n">
        <v>4</v>
      </c>
      <c r="D13" s="4" t="inlineStr">
        <is>
          <t>Alan</t>
        </is>
      </c>
      <c r="E13" s="14" t="inlineStr">
        <is>
          <t>Yes</t>
        </is>
      </c>
      <c r="F13" s="4" t="n"/>
    </row>
    <row r="14">
      <c r="A14" s="4" t="inlineStr">
        <is>
          <t>Brad Plays</t>
        </is>
      </c>
      <c r="B14" s="4" t="inlineStr">
        <is>
          <t>Team A</t>
        </is>
      </c>
      <c r="C14" s="4" t="n">
        <v>1</v>
      </c>
      <c r="D14" s="4" t="inlineStr">
        <is>
          <t>Alex</t>
        </is>
      </c>
      <c r="E14" s="14" t="inlineStr">
        <is>
          <t>Yes</t>
        </is>
      </c>
      <c r="F14" s="4" t="n"/>
    </row>
    <row r="15">
      <c r="A15" s="4" t="inlineStr">
        <is>
          <t>Brad Plays</t>
        </is>
      </c>
      <c r="B15" s="4" t="inlineStr">
        <is>
          <t>Team A</t>
        </is>
      </c>
      <c r="C15" s="4" t="n">
        <v>2</v>
      </c>
      <c r="D15" s="4" t="inlineStr">
        <is>
          <t>Peter</t>
        </is>
      </c>
      <c r="E15" s="14" t="inlineStr">
        <is>
          <t>Yes</t>
        </is>
      </c>
      <c r="F15" s="4" t="n"/>
    </row>
    <row r="16">
      <c r="A16" s="4" t="inlineStr">
        <is>
          <t>Brad Plays</t>
        </is>
      </c>
      <c r="B16" s="4" t="inlineStr">
        <is>
          <t>Team A</t>
        </is>
      </c>
      <c r="C16" s="4" t="n">
        <v>3</v>
      </c>
      <c r="D16" s="4" t="inlineStr">
        <is>
          <t>Josh</t>
        </is>
      </c>
      <c r="E16" s="14" t="inlineStr">
        <is>
          <t>Yes</t>
        </is>
      </c>
      <c r="F16" s="4" t="n"/>
    </row>
    <row r="17">
      <c r="A17" s="4" t="inlineStr">
        <is>
          <t>Brad Plays</t>
        </is>
      </c>
      <c r="B17" s="4" t="inlineStr">
        <is>
          <t>Team A</t>
        </is>
      </c>
      <c r="C17" s="4" t="n">
        <v>4</v>
      </c>
      <c r="D17" s="4" t="inlineStr">
        <is>
          <t>Berler/Jason</t>
        </is>
      </c>
      <c r="E17" s="14" t="inlineStr">
        <is>
          <t>Yes</t>
        </is>
      </c>
      <c r="F17" s="4" t="inlineStr">
        <is>
          <t>Shared sub slot: Berler and Jason rotate</t>
        </is>
      </c>
    </row>
    <row r="18">
      <c r="A18" s="4" t="inlineStr">
        <is>
          <t>Brad Plays</t>
        </is>
      </c>
      <c r="B18" s="4" t="inlineStr">
        <is>
          <t>Team B</t>
        </is>
      </c>
      <c r="C18" s="4" t="n">
        <v>1</v>
      </c>
      <c r="D18" s="4" t="inlineStr">
        <is>
          <t>Eric</t>
        </is>
      </c>
      <c r="E18" s="14" t="inlineStr">
        <is>
          <t>Yes</t>
        </is>
      </c>
      <c r="F18" s="4" t="n"/>
    </row>
    <row r="19">
      <c r="A19" s="4" t="inlineStr">
        <is>
          <t>Brad Plays</t>
        </is>
      </c>
      <c r="B19" s="4" t="inlineStr">
        <is>
          <t>Team B</t>
        </is>
      </c>
      <c r="C19" s="4" t="n">
        <v>2</v>
      </c>
      <c r="D19" s="4" t="inlineStr">
        <is>
          <t>Zak</t>
        </is>
      </c>
      <c r="E19" s="14" t="inlineStr">
        <is>
          <t>Yes</t>
        </is>
      </c>
      <c r="F19" s="4" t="n"/>
    </row>
    <row r="20">
      <c r="A20" s="4" t="inlineStr">
        <is>
          <t>Brad Plays</t>
        </is>
      </c>
      <c r="B20" s="4" t="inlineStr">
        <is>
          <t>Team B</t>
        </is>
      </c>
      <c r="C20" s="4" t="n">
        <v>3</v>
      </c>
      <c r="D20" s="4" t="inlineStr">
        <is>
          <t>Brad</t>
        </is>
      </c>
      <c r="E20" s="14" t="inlineStr">
        <is>
          <t>Yes</t>
        </is>
      </c>
      <c r="F20" s="4" t="n"/>
    </row>
    <row r="21" ht="15.75" customHeight="1" s="19">
      <c r="A21" s="4" t="inlineStr">
        <is>
          <t>Brad Plays</t>
        </is>
      </c>
      <c r="B21" s="4" t="inlineStr">
        <is>
          <t>Team B</t>
        </is>
      </c>
      <c r="C21" s="4" t="n">
        <v>4</v>
      </c>
      <c r="D21" s="4" t="inlineStr">
        <is>
          <t>James</t>
        </is>
      </c>
      <c r="E21" s="14" t="inlineStr">
        <is>
          <t>Yes</t>
        </is>
      </c>
      <c r="F21" s="4" t="n"/>
    </row>
    <row r="22" ht="15.75" customHeight="1" s="19">
      <c r="A22" s="4" t="inlineStr">
        <is>
          <t>Brad Plays</t>
        </is>
      </c>
      <c r="B22" s="4" t="inlineStr">
        <is>
          <t>Team C</t>
        </is>
      </c>
      <c r="C22" s="4" t="n">
        <v>1</v>
      </c>
      <c r="D22" s="4" t="inlineStr">
        <is>
          <t>Emil</t>
        </is>
      </c>
      <c r="E22" s="14" t="inlineStr">
        <is>
          <t>Yes</t>
        </is>
      </c>
      <c r="F22" s="4" t="n"/>
    </row>
    <row r="23" ht="15.75" customHeight="1" s="19">
      <c r="A23" s="4" t="inlineStr">
        <is>
          <t>Brad Plays</t>
        </is>
      </c>
      <c r="B23" s="4" t="inlineStr">
        <is>
          <t>Team C</t>
        </is>
      </c>
      <c r="C23" s="4" t="n">
        <v>2</v>
      </c>
      <c r="D23" s="4" t="inlineStr">
        <is>
          <t>Darryl</t>
        </is>
      </c>
      <c r="E23" s="14" t="inlineStr">
        <is>
          <t>Yes</t>
        </is>
      </c>
      <c r="F23" s="4" t="n"/>
    </row>
    <row r="24" ht="15.75" customHeight="1" s="19">
      <c r="A24" s="4" t="inlineStr">
        <is>
          <t>Brad Plays</t>
        </is>
      </c>
      <c r="B24" s="4" t="inlineStr">
        <is>
          <t>Team C</t>
        </is>
      </c>
      <c r="C24" s="4" t="n">
        <v>3</v>
      </c>
      <c r="D24" s="4" t="inlineStr">
        <is>
          <t>Alan</t>
        </is>
      </c>
      <c r="E24" s="14" t="inlineStr">
        <is>
          <t>Yes</t>
        </is>
      </c>
      <c r="F24" s="4" t="n"/>
    </row>
    <row r="25" ht="15.75" customHeight="1" s="19">
      <c r="A25" s="4" t="inlineStr">
        <is>
          <t>Brad Plays</t>
        </is>
      </c>
      <c r="B25" s="4" t="inlineStr">
        <is>
          <t>Team C</t>
        </is>
      </c>
      <c r="C25" s="4" t="n">
        <v>4</v>
      </c>
      <c r="D25" s="4" t="inlineStr">
        <is>
          <t>Andrew</t>
        </is>
      </c>
      <c r="E25" s="14" t="inlineStr">
        <is>
          <t>Yes</t>
        </is>
      </c>
      <c r="F25" s="4" t="n"/>
    </row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1:$F$25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19" min="1" max="1"/>
    <col width="13" customWidth="1" style="19" min="2" max="2"/>
    <col width="55" customWidth="1" style="19" min="3" max="3"/>
    <col width="14" customWidth="1" style="19" min="4" max="10"/>
    <col width="14" customWidth="1" style="19" min="5" max="5"/>
    <col width="14" customWidth="1" style="19" min="6" max="6"/>
    <col width="16" customWidth="1" style="19" min="7" max="7"/>
    <col width="14" customWidth="1" style="19" min="8" max="8"/>
    <col width="14" customWidth="1" style="19" min="9" max="9"/>
    <col width="24" customWidth="1" style="19" min="10" max="10"/>
    <col width="8.710000000000001" customWidth="1" style="19" min="11" max="26"/>
  </cols>
  <sheetData>
    <row r="1" ht="30" customHeight="1" s="19">
      <c r="A1" s="22" t="inlineStr">
        <is>
          <t>Scenario</t>
        </is>
      </c>
      <c r="B1" s="22" t="inlineStr">
        <is>
          <t>Team</t>
        </is>
      </c>
      <c r="C1" s="22" t="inlineStr">
        <is>
          <t>Players</t>
        </is>
      </c>
      <c r="D1" s="22" t="inlineStr">
        <is>
          <t>Avg Overall</t>
        </is>
      </c>
      <c r="E1" s="22" t="inlineStr">
        <is>
          <t>Avg Offense</t>
        </is>
      </c>
      <c r="F1" s="22" t="inlineStr">
        <is>
          <t>Avg Defense</t>
        </is>
      </c>
      <c r="G1" s="22" t="inlineStr">
        <is>
          <t>Avg Rebounding</t>
        </is>
      </c>
      <c r="H1" s="22" t="inlineStr">
        <is>
          <t>Avg Stamina</t>
        </is>
      </c>
      <c r="I1" s="22" t="inlineStr">
        <is>
          <t>Team Rating</t>
        </is>
      </c>
      <c r="J1" s="22" t="inlineStr">
        <is>
          <t>Suggested Spread vs Scenario Avg</t>
        </is>
      </c>
    </row>
    <row r="2">
      <c r="A2" s="28" t="inlineStr">
        <is>
          <t>Brad Out</t>
        </is>
      </c>
      <c r="B2" s="28" t="inlineStr">
        <is>
          <t>Team A</t>
        </is>
      </c>
      <c r="C2" s="28" t="inlineStr">
        <is>
          <t>Alex, Peter, Andrew, Jason</t>
        </is>
      </c>
      <c r="D2" s="29" t="n">
        <v>4.458333333333333</v>
      </c>
      <c r="E2" s="29" t="n">
        <v>4.358333333333333</v>
      </c>
      <c r="F2" s="29" t="n">
        <v>4.4375</v>
      </c>
      <c r="G2" s="29" t="n">
        <v>5</v>
      </c>
      <c r="H2" s="29" t="n">
        <v>4.25</v>
      </c>
      <c r="I2" s="29" t="n">
        <v>4.460833333333333</v>
      </c>
      <c r="J2" s="29" t="n">
        <v>-1.044444444444443</v>
      </c>
    </row>
    <row r="3">
      <c r="A3" s="28" t="inlineStr">
        <is>
          <t>Brad Out</t>
        </is>
      </c>
      <c r="B3" s="28" t="inlineStr">
        <is>
          <t>Team B</t>
        </is>
      </c>
      <c r="C3" s="28" t="inlineStr">
        <is>
          <t>Eric, Josh, Zak, James</t>
        </is>
      </c>
      <c r="D3" s="29" t="n">
        <v>5.125</v>
      </c>
      <c r="E3" s="29" t="n">
        <v>4.8125</v>
      </c>
      <c r="F3" s="29" t="n">
        <v>5.324999999999999</v>
      </c>
      <c r="G3" s="29" t="n">
        <v>5.25</v>
      </c>
      <c r="H3" s="29" t="n">
        <v>5.75</v>
      </c>
      <c r="I3" s="29" t="n">
        <v>5.114375</v>
      </c>
      <c r="J3" s="29" t="n">
        <v>0.5894097222222228</v>
      </c>
    </row>
    <row r="4">
      <c r="A4" s="28" t="inlineStr">
        <is>
          <t>Brad Out</t>
        </is>
      </c>
      <c r="B4" s="28" t="inlineStr">
        <is>
          <t>Team C</t>
        </is>
      </c>
      <c r="C4" s="28" t="inlineStr">
        <is>
          <t>Emil, Darryl, Berler, Alan</t>
        </is>
      </c>
      <c r="D4" s="29" t="n">
        <v>5</v>
      </c>
      <c r="E4" s="29" t="n">
        <v>5.0625</v>
      </c>
      <c r="F4" s="29" t="n">
        <v>5.2625</v>
      </c>
      <c r="G4" s="29" t="n">
        <v>5</v>
      </c>
      <c r="H4" s="29" t="n">
        <v>4.75</v>
      </c>
      <c r="I4" s="29" t="n">
        <v>5.060625</v>
      </c>
      <c r="J4" s="29" t="n">
        <v>0.4550347222222229</v>
      </c>
    </row>
    <row r="5">
      <c r="A5" s="28" t="inlineStr">
        <is>
          <t>Brad Plays</t>
        </is>
      </c>
      <c r="B5" s="28" t="inlineStr">
        <is>
          <t>Team A</t>
        </is>
      </c>
      <c r="C5" s="28" t="inlineStr">
        <is>
          <t>Alex, Peter, Josh, Berler (50%), Jason (50%)</t>
        </is>
      </c>
      <c r="D5" s="29" t="n">
        <v>4.9375</v>
      </c>
      <c r="E5" s="29" t="n">
        <v>4.98125</v>
      </c>
      <c r="F5" s="29" t="n">
        <v>4.8875</v>
      </c>
      <c r="G5" s="29" t="n">
        <v>5</v>
      </c>
      <c r="H5" s="29" t="n">
        <v>4.75</v>
      </c>
      <c r="I5" s="29" t="n">
        <v>4.9371875</v>
      </c>
      <c r="J5" s="29" t="n">
        <v>-0.2187499999999987</v>
      </c>
    </row>
    <row r="6">
      <c r="A6" s="28" t="inlineStr">
        <is>
          <t>Brad Plays</t>
        </is>
      </c>
      <c r="B6" s="28" t="inlineStr">
        <is>
          <t>Team B</t>
        </is>
      </c>
      <c r="C6" s="28" t="inlineStr">
        <is>
          <t>Eric, Zak, Brad, James</t>
        </is>
      </c>
      <c r="D6" s="29" t="n">
        <v>5.166666666666667</v>
      </c>
      <c r="E6" s="29" t="n">
        <v>5.204166666666667</v>
      </c>
      <c r="F6" s="29" t="n">
        <v>4.887499999999999</v>
      </c>
      <c r="G6" s="29" t="n">
        <v>5</v>
      </c>
      <c r="H6" s="29" t="n">
        <v>5.25</v>
      </c>
      <c r="I6" s="29" t="n">
        <v>5.111041666666666</v>
      </c>
      <c r="J6" s="29" t="n">
        <v>0.2158854166666657</v>
      </c>
    </row>
    <row r="7">
      <c r="A7" s="28" t="inlineStr">
        <is>
          <t>Brad Plays</t>
        </is>
      </c>
      <c r="B7" s="28" t="inlineStr">
        <is>
          <t>Team C</t>
        </is>
      </c>
      <c r="C7" s="28" t="inlineStr">
        <is>
          <t>Emil, Darryl, Alan, Andrew</t>
        </is>
      </c>
      <c r="D7" s="29" t="n">
        <v>4.958333333333333</v>
      </c>
      <c r="E7" s="29" t="n">
        <v>5.058333333333334</v>
      </c>
      <c r="F7" s="29" t="n">
        <v>5.225</v>
      </c>
      <c r="G7" s="29" t="n">
        <v>5</v>
      </c>
      <c r="H7" s="29" t="n">
        <v>4.5</v>
      </c>
      <c r="I7" s="29" t="n">
        <v>5.025833333333333</v>
      </c>
      <c r="J7" s="29" t="n">
        <v>0.002864583333332948</v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1:J7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9" min="1" max="1"/>
    <col width="10" customWidth="1" style="19" min="2" max="2"/>
    <col width="14" customWidth="1" style="19" min="3" max="3"/>
    <col width="14" customWidth="1" style="19" min="4" max="4"/>
    <col width="14" customWidth="1" style="19" min="5" max="5"/>
    <col width="14" customWidth="1" style="19" min="6" max="6"/>
    <col width="16" customWidth="1" style="19" min="7" max="7"/>
    <col width="16" customWidth="1" style="19" min="8" max="8"/>
    <col width="11" customWidth="1" style="19" min="9" max="9"/>
    <col width="18" customWidth="1" style="19" min="10" max="10"/>
    <col width="24" customWidth="1" style="19" min="11" max="11"/>
    <col width="20" customWidth="1" style="19" min="12" max="12"/>
    <col width="20" customWidth="1" style="19" min="13" max="13"/>
    <col width="24" customWidth="1" style="19" min="14" max="14"/>
  </cols>
  <sheetData>
    <row r="1" ht="30" customHeight="1" s="19">
      <c r="A1" s="22" t="inlineStr">
        <is>
          <t>Game ID</t>
        </is>
      </c>
      <c r="B1" s="22" t="inlineStr">
        <is>
          <t>Game #</t>
        </is>
      </c>
      <c r="C1" s="22" t="inlineStr">
        <is>
          <t>Team 1</t>
        </is>
      </c>
      <c r="D1" s="22" t="inlineStr">
        <is>
          <t>Team 2</t>
        </is>
      </c>
      <c r="E1" s="22" t="inlineStr">
        <is>
          <t>Bye</t>
        </is>
      </c>
      <c r="F1" s="22" t="inlineStr">
        <is>
          <t>Status</t>
        </is>
      </c>
      <c r="G1" s="22" t="inlineStr">
        <is>
          <t>Team 1 Score</t>
        </is>
      </c>
      <c r="H1" s="22" t="inlineStr">
        <is>
          <t>Team 2 Score</t>
        </is>
      </c>
      <c r="I1" s="22" t="inlineStr">
        <is>
          <t>Final?</t>
        </is>
      </c>
      <c r="J1" s="22" t="inlineStr">
        <is>
          <t>Betting Locked?</t>
        </is>
      </c>
      <c r="K1" s="22" t="inlineStr">
        <is>
          <t>Updated At</t>
        </is>
      </c>
      <c r="L1" s="22" t="inlineStr">
        <is>
          <t>Team 1 Box Points</t>
        </is>
      </c>
      <c r="M1" s="22" t="inlineStr">
        <is>
          <t>Team 2 Box Points</t>
        </is>
      </c>
      <c r="N1" s="22" t="inlineStr">
        <is>
          <t>Reconciliation</t>
        </is>
      </c>
      <c r="O1" t="inlineStr">
        <is>
          <t>Game Type</t>
        </is>
      </c>
      <c r="P1" t="inlineStr">
        <is>
          <t>Team 1 ID</t>
        </is>
      </c>
      <c r="Q1" t="inlineStr">
        <is>
          <t>Team 2 ID</t>
        </is>
      </c>
      <c r="R1" t="inlineStr">
        <is>
          <t>Bye ID</t>
        </is>
      </c>
      <c r="S1" t="inlineStr">
        <is>
          <t>Counts Toward Standings?</t>
        </is>
      </c>
      <c r="T1" t="inlineStr">
        <is>
          <t>Betting Enabled?</t>
        </is>
      </c>
    </row>
    <row r="2">
      <c r="A2" s="0" t="inlineStr">
        <is>
          <t>game-1</t>
        </is>
      </c>
      <c r="B2" s="0" t="n">
        <v>1</v>
      </c>
      <c r="C2" s="0" t="inlineStr">
        <is>
          <t>Team A</t>
        </is>
      </c>
      <c r="D2" s="0" t="inlineStr">
        <is>
          <t>Team B</t>
        </is>
      </c>
      <c r="E2" s="0" t="inlineStr">
        <is>
          <t>Team C</t>
        </is>
      </c>
      <c r="F2" s="23" t="inlineStr">
        <is>
          <t>UPCOMING</t>
        </is>
      </c>
      <c r="G2" s="23" t="inlineStr"/>
      <c r="H2" s="23" t="inlineStr"/>
      <c r="I2" s="23" t="b">
        <v>0</v>
      </c>
      <c r="J2" s="23" t="b">
        <v>0</v>
      </c>
      <c r="K2" s="23" t="inlineStr"/>
      <c r="L2" s="30">
        <f>SUMIFS('Box Scores'!$G:$G,'Box Scores'!$A:$A,$A2,'Box Scores'!$B:$B,IF('App Config'!$B$2,"Brad Plays","Brad Out"),'Box Scores'!$E:$E,$C2,'Box Scores'!$F:$F,TRUE)</f>
        <v/>
      </c>
      <c r="M2" s="30">
        <f>SUMIFS('Box Scores'!$G:$G,'Box Scores'!$A:$A,$A2,'Box Scores'!$B:$B,IF('App Config'!$B$2,"Brad Plays","Brad Out"),'Box Scores'!$E:$E,$D2,'Box Scores'!$F:$F,TRUE)</f>
        <v/>
      </c>
      <c r="N2" s="30">
        <f>IF(NOT($I2),"PENDING",IF(AND($G2=$L2,$H2=$M2),"OK","CHECK PLAYER POINTS"))</f>
        <v/>
      </c>
      <c r="O2" t="inlineStr">
        <is>
          <t>TOURNAMENT</t>
        </is>
      </c>
      <c r="P2" t="inlineStr">
        <is>
          <t>Team A</t>
        </is>
      </c>
      <c r="Q2" t="inlineStr">
        <is>
          <t>Team B</t>
        </is>
      </c>
      <c r="R2" t="inlineStr">
        <is>
          <t>Team C</t>
        </is>
      </c>
    </row>
    <row r="3">
      <c r="A3" s="0" t="inlineStr">
        <is>
          <t>game-2</t>
        </is>
      </c>
      <c r="B3" s="0" t="n">
        <v>2</v>
      </c>
      <c r="C3" s="0" t="inlineStr">
        <is>
          <t>Team B</t>
        </is>
      </c>
      <c r="D3" s="0" t="inlineStr">
        <is>
          <t>Team C</t>
        </is>
      </c>
      <c r="E3" s="0" t="inlineStr">
        <is>
          <t>Team A</t>
        </is>
      </c>
      <c r="F3" s="23" t="inlineStr">
        <is>
          <t>UPCOMING</t>
        </is>
      </c>
      <c r="G3" s="23" t="inlineStr"/>
      <c r="H3" s="23" t="inlineStr"/>
      <c r="I3" s="23" t="b">
        <v>0</v>
      </c>
      <c r="J3" s="23" t="b">
        <v>0</v>
      </c>
      <c r="K3" s="23" t="inlineStr"/>
      <c r="L3" s="30">
        <f>SUMIFS('Box Scores'!$G:$G,'Box Scores'!$A:$A,$A3,'Box Scores'!$B:$B,IF('App Config'!$B$2,"Brad Plays","Brad Out"),'Box Scores'!$E:$E,$C3,'Box Scores'!$F:$F,TRUE)</f>
        <v/>
      </c>
      <c r="M3" s="30">
        <f>SUMIFS('Box Scores'!$G:$G,'Box Scores'!$A:$A,$A3,'Box Scores'!$B:$B,IF('App Config'!$B$2,"Brad Plays","Brad Out"),'Box Scores'!$E:$E,$D3,'Box Scores'!$F:$F,TRUE)</f>
        <v/>
      </c>
      <c r="N3" s="30">
        <f>IF(NOT($I3),"PENDING",IF(AND($G3=$L3,$H3=$M3),"OK","CHECK PLAYER POINTS"))</f>
        <v/>
      </c>
      <c r="O3" t="inlineStr">
        <is>
          <t>TOURNAMENT</t>
        </is>
      </c>
      <c r="P3" t="inlineStr">
        <is>
          <t>Team B</t>
        </is>
      </c>
      <c r="Q3" t="inlineStr">
        <is>
          <t>Team C</t>
        </is>
      </c>
      <c r="R3" t="inlineStr">
        <is>
          <t>Team A</t>
        </is>
      </c>
    </row>
    <row r="4">
      <c r="A4" s="0" t="inlineStr">
        <is>
          <t>game-3</t>
        </is>
      </c>
      <c r="B4" s="0" t="n">
        <v>3</v>
      </c>
      <c r="C4" s="0" t="inlineStr">
        <is>
          <t>Team C</t>
        </is>
      </c>
      <c r="D4" s="0" t="inlineStr">
        <is>
          <t>Team A</t>
        </is>
      </c>
      <c r="E4" s="0" t="inlineStr">
        <is>
          <t>Team B</t>
        </is>
      </c>
      <c r="F4" s="23" t="inlineStr">
        <is>
          <t>UPCOMING</t>
        </is>
      </c>
      <c r="G4" s="23" t="inlineStr"/>
      <c r="H4" s="23" t="inlineStr"/>
      <c r="I4" s="23" t="b">
        <v>0</v>
      </c>
      <c r="J4" s="23" t="b">
        <v>0</v>
      </c>
      <c r="K4" s="23" t="inlineStr"/>
      <c r="L4" s="30">
        <f>SUMIFS('Box Scores'!$G:$G,'Box Scores'!$A:$A,$A4,'Box Scores'!$B:$B,IF('App Config'!$B$2,"Brad Plays","Brad Out"),'Box Scores'!$E:$E,$C4,'Box Scores'!$F:$F,TRUE)</f>
        <v/>
      </c>
      <c r="M4" s="30">
        <f>SUMIFS('Box Scores'!$G:$G,'Box Scores'!$A:$A,$A4,'Box Scores'!$B:$B,IF('App Config'!$B$2,"Brad Plays","Brad Out"),'Box Scores'!$E:$E,$D4,'Box Scores'!$F:$F,TRUE)</f>
        <v/>
      </c>
      <c r="N4" s="30">
        <f>IF(NOT($I4),"PENDING",IF(AND($G4=$L4,$H4=$M4),"OK","CHECK PLAYER POINTS"))</f>
        <v/>
      </c>
      <c r="O4" t="inlineStr">
        <is>
          <t>TOURNAMENT</t>
        </is>
      </c>
      <c r="P4" t="inlineStr">
        <is>
          <t>Team C</t>
        </is>
      </c>
      <c r="Q4" t="inlineStr">
        <is>
          <t>Team A</t>
        </is>
      </c>
      <c r="R4" t="inlineStr">
        <is>
          <t>Team B</t>
        </is>
      </c>
    </row>
  </sheetData>
  <autoFilter ref="A1:N1"/>
  <dataValidations count="2">
    <dataValidation sqref="F2:F4" showDropDown="0" showInputMessage="0" showErrorMessage="0" allowBlank="1" type="list">
      <formula1>"UPCOMING,LIVE,FINAL"</formula1>
    </dataValidation>
    <dataValidation sqref="I2:J4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9" min="1" max="1"/>
    <col width="15" customWidth="1" style="19" min="2" max="2"/>
    <col width="18" customWidth="1" style="19" min="3" max="3"/>
    <col width="18" customWidth="1" style="19" min="4" max="4"/>
    <col width="13" customWidth="1" style="19" min="5" max="5"/>
    <col width="11" customWidth="1" style="19" min="6" max="6"/>
    <col width="11" customWidth="1" style="19" min="7" max="7"/>
    <col width="12" customWidth="1" style="19" min="8" max="8"/>
    <col width="11" customWidth="1" style="19" min="9" max="9"/>
    <col width="16" customWidth="1" style="19" min="10" max="10"/>
    <col width="11" customWidth="1" style="19" min="11" max="11"/>
    <col width="38" customWidth="1" style="19" min="12" max="12"/>
  </cols>
  <sheetData>
    <row r="1" ht="30" customHeight="1" s="19">
      <c r="A1" s="22" t="inlineStr">
        <is>
          <t>Game ID</t>
        </is>
      </c>
      <c r="B1" s="22" t="inlineStr">
        <is>
          <t>Scenario</t>
        </is>
      </c>
      <c r="C1" s="22" t="inlineStr">
        <is>
          <t>Player ID</t>
        </is>
      </c>
      <c r="D1" s="22" t="inlineStr">
        <is>
          <t>Player</t>
        </is>
      </c>
      <c r="E1" s="22" t="inlineStr">
        <is>
          <t>Team</t>
        </is>
      </c>
      <c r="F1" s="22" t="inlineStr">
        <is>
          <t>Played?</t>
        </is>
      </c>
      <c r="G1" s="22" t="inlineStr">
        <is>
          <t>Points</t>
        </is>
      </c>
      <c r="H1" s="22" t="inlineStr">
        <is>
          <t>Rebounds</t>
        </is>
      </c>
      <c r="I1" s="22" t="inlineStr">
        <is>
          <t>Assists</t>
        </is>
      </c>
      <c r="J1" s="22" t="inlineStr">
        <is>
          <t>Three Pointers</t>
        </is>
      </c>
      <c r="K1" s="22" t="inlineStr">
        <is>
          <t>PRA</t>
        </is>
      </c>
      <c r="L1" s="22" t="inlineStr">
        <is>
          <t>Scorekeeper Notes</t>
        </is>
      </c>
    </row>
    <row r="2">
      <c r="A2" s="0" t="inlineStr">
        <is>
          <t>game-1</t>
        </is>
      </c>
      <c r="B2" s="0" t="inlineStr">
        <is>
          <t>Brad Out</t>
        </is>
      </c>
      <c r="C2" s="0" t="inlineStr">
        <is>
          <t>alex</t>
        </is>
      </c>
      <c r="D2" s="0" t="inlineStr">
        <is>
          <t>Alex</t>
        </is>
      </c>
      <c r="E2" s="0" t="inlineStr">
        <is>
          <t>Team A</t>
        </is>
      </c>
      <c r="F2" s="23" t="b">
        <v>0</v>
      </c>
      <c r="G2" s="23" t="inlineStr"/>
      <c r="H2" s="23" t="inlineStr"/>
      <c r="I2" s="23" t="inlineStr"/>
      <c r="J2" s="23" t="inlineStr"/>
      <c r="K2" s="0">
        <f>IF(F2,SUM(G2:I2),"")</f>
        <v/>
      </c>
      <c r="L2" s="0" t="inlineStr"/>
    </row>
    <row r="3">
      <c r="A3" s="0" t="inlineStr">
        <is>
          <t>game-1</t>
        </is>
      </c>
      <c r="B3" s="0" t="inlineStr">
        <is>
          <t>Brad Out</t>
        </is>
      </c>
      <c r="C3" s="0" t="inlineStr">
        <is>
          <t>peter</t>
        </is>
      </c>
      <c r="D3" s="0" t="inlineStr">
        <is>
          <t>Peter</t>
        </is>
      </c>
      <c r="E3" s="0" t="inlineStr">
        <is>
          <t>Team A</t>
        </is>
      </c>
      <c r="F3" s="23" t="b">
        <v>0</v>
      </c>
      <c r="G3" s="23" t="inlineStr"/>
      <c r="H3" s="23" t="inlineStr"/>
      <c r="I3" s="23" t="inlineStr"/>
      <c r="J3" s="23" t="inlineStr"/>
      <c r="K3" s="0">
        <f>IF(F3,SUM(G3:I3),"")</f>
        <v/>
      </c>
      <c r="L3" s="0" t="inlineStr"/>
    </row>
    <row r="4">
      <c r="A4" s="0" t="inlineStr">
        <is>
          <t>game-1</t>
        </is>
      </c>
      <c r="B4" s="0" t="inlineStr">
        <is>
          <t>Brad Out</t>
        </is>
      </c>
      <c r="C4" s="0" t="inlineStr">
        <is>
          <t>andrew</t>
        </is>
      </c>
      <c r="D4" s="0" t="inlineStr">
        <is>
          <t>Andrew</t>
        </is>
      </c>
      <c r="E4" s="0" t="inlineStr">
        <is>
          <t>Team A</t>
        </is>
      </c>
      <c r="F4" s="23" t="b">
        <v>0</v>
      </c>
      <c r="G4" s="23" t="inlineStr"/>
      <c r="H4" s="23" t="inlineStr"/>
      <c r="I4" s="23" t="inlineStr"/>
      <c r="J4" s="23" t="inlineStr"/>
      <c r="K4" s="0">
        <f>IF(F4,SUM(G4:I4),"")</f>
        <v/>
      </c>
      <c r="L4" s="0" t="inlineStr"/>
    </row>
    <row r="5">
      <c r="A5" s="0" t="inlineStr">
        <is>
          <t>game-1</t>
        </is>
      </c>
      <c r="B5" s="0" t="inlineStr">
        <is>
          <t>Brad Out</t>
        </is>
      </c>
      <c r="C5" s="0" t="inlineStr">
        <is>
          <t>jason</t>
        </is>
      </c>
      <c r="D5" s="0" t="inlineStr">
        <is>
          <t>Jason</t>
        </is>
      </c>
      <c r="E5" s="0" t="inlineStr">
        <is>
          <t>Team A</t>
        </is>
      </c>
      <c r="F5" s="23" t="b">
        <v>0</v>
      </c>
      <c r="G5" s="23" t="inlineStr"/>
      <c r="H5" s="23" t="inlineStr"/>
      <c r="I5" s="23" t="inlineStr"/>
      <c r="J5" s="23" t="inlineStr"/>
      <c r="K5" s="0">
        <f>IF(F5,SUM(G5:I5),"")</f>
        <v/>
      </c>
      <c r="L5" s="0" t="inlineStr"/>
    </row>
    <row r="6">
      <c r="A6" s="0" t="inlineStr">
        <is>
          <t>game-1</t>
        </is>
      </c>
      <c r="B6" s="0" t="inlineStr">
        <is>
          <t>Brad Out</t>
        </is>
      </c>
      <c r="C6" s="0" t="inlineStr">
        <is>
          <t>eric</t>
        </is>
      </c>
      <c r="D6" s="0" t="inlineStr">
        <is>
          <t>Eric</t>
        </is>
      </c>
      <c r="E6" s="0" t="inlineStr">
        <is>
          <t>Team B</t>
        </is>
      </c>
      <c r="F6" s="23" t="b">
        <v>0</v>
      </c>
      <c r="G6" s="23" t="inlineStr"/>
      <c r="H6" s="23" t="inlineStr"/>
      <c r="I6" s="23" t="inlineStr"/>
      <c r="J6" s="23" t="inlineStr"/>
      <c r="K6" s="0">
        <f>IF(F6,SUM(G6:I6),"")</f>
        <v/>
      </c>
      <c r="L6" s="0" t="inlineStr"/>
    </row>
    <row r="7">
      <c r="A7" s="0" t="inlineStr">
        <is>
          <t>game-1</t>
        </is>
      </c>
      <c r="B7" s="0" t="inlineStr">
        <is>
          <t>Brad Out</t>
        </is>
      </c>
      <c r="C7" s="0" t="inlineStr">
        <is>
          <t>josh</t>
        </is>
      </c>
      <c r="D7" s="0" t="inlineStr">
        <is>
          <t>Josh</t>
        </is>
      </c>
      <c r="E7" s="0" t="inlineStr">
        <is>
          <t>Team B</t>
        </is>
      </c>
      <c r="F7" s="23" t="b">
        <v>0</v>
      </c>
      <c r="G7" s="23" t="inlineStr"/>
      <c r="H7" s="23" t="inlineStr"/>
      <c r="I7" s="23" t="inlineStr"/>
      <c r="J7" s="23" t="inlineStr"/>
      <c r="K7" s="0">
        <f>IF(F7,SUM(G7:I7),"")</f>
        <v/>
      </c>
      <c r="L7" s="0" t="inlineStr"/>
    </row>
    <row r="8">
      <c r="A8" s="0" t="inlineStr">
        <is>
          <t>game-1</t>
        </is>
      </c>
      <c r="B8" s="0" t="inlineStr">
        <is>
          <t>Brad Out</t>
        </is>
      </c>
      <c r="C8" s="0" t="inlineStr">
        <is>
          <t>zak</t>
        </is>
      </c>
      <c r="D8" s="0" t="inlineStr">
        <is>
          <t>Zak</t>
        </is>
      </c>
      <c r="E8" s="0" t="inlineStr">
        <is>
          <t>Team B</t>
        </is>
      </c>
      <c r="F8" s="23" t="b">
        <v>0</v>
      </c>
      <c r="G8" s="23" t="inlineStr"/>
      <c r="H8" s="23" t="inlineStr"/>
      <c r="I8" s="23" t="inlineStr"/>
      <c r="J8" s="23" t="inlineStr"/>
      <c r="K8" s="0">
        <f>IF(F8,SUM(G8:I8),"")</f>
        <v/>
      </c>
      <c r="L8" s="0" t="inlineStr"/>
    </row>
    <row r="9">
      <c r="A9" s="0" t="inlineStr">
        <is>
          <t>game-1</t>
        </is>
      </c>
      <c r="B9" s="0" t="inlineStr">
        <is>
          <t>Brad Out</t>
        </is>
      </c>
      <c r="C9" s="0" t="inlineStr">
        <is>
          <t>james</t>
        </is>
      </c>
      <c r="D9" s="0" t="inlineStr">
        <is>
          <t>James</t>
        </is>
      </c>
      <c r="E9" s="0" t="inlineStr">
        <is>
          <t>Team B</t>
        </is>
      </c>
      <c r="F9" s="23" t="b">
        <v>0</v>
      </c>
      <c r="G9" s="23" t="inlineStr"/>
      <c r="H9" s="23" t="inlineStr"/>
      <c r="I9" s="23" t="inlineStr"/>
      <c r="J9" s="23" t="inlineStr"/>
      <c r="K9" s="0">
        <f>IF(F9,SUM(G9:I9),"")</f>
        <v/>
      </c>
      <c r="L9" s="0" t="inlineStr"/>
    </row>
    <row r="10">
      <c r="A10" s="0" t="inlineStr">
        <is>
          <t>game-2</t>
        </is>
      </c>
      <c r="B10" s="0" t="inlineStr">
        <is>
          <t>Brad Out</t>
        </is>
      </c>
      <c r="C10" s="0" t="inlineStr">
        <is>
          <t>eric</t>
        </is>
      </c>
      <c r="D10" s="0" t="inlineStr">
        <is>
          <t>Eric</t>
        </is>
      </c>
      <c r="E10" s="0" t="inlineStr">
        <is>
          <t>Team B</t>
        </is>
      </c>
      <c r="F10" s="23" t="b">
        <v>0</v>
      </c>
      <c r="G10" s="23" t="inlineStr"/>
      <c r="H10" s="23" t="inlineStr"/>
      <c r="I10" s="23" t="inlineStr"/>
      <c r="J10" s="23" t="inlineStr"/>
      <c r="K10" s="0">
        <f>IF(F10,SUM(G10:I10),"")</f>
        <v/>
      </c>
      <c r="L10" s="0" t="inlineStr"/>
    </row>
    <row r="11">
      <c r="A11" s="0" t="inlineStr">
        <is>
          <t>game-2</t>
        </is>
      </c>
      <c r="B11" s="0" t="inlineStr">
        <is>
          <t>Brad Out</t>
        </is>
      </c>
      <c r="C11" s="0" t="inlineStr">
        <is>
          <t>josh</t>
        </is>
      </c>
      <c r="D11" s="0" t="inlineStr">
        <is>
          <t>Josh</t>
        </is>
      </c>
      <c r="E11" s="0" t="inlineStr">
        <is>
          <t>Team B</t>
        </is>
      </c>
      <c r="F11" s="23" t="b">
        <v>0</v>
      </c>
      <c r="G11" s="23" t="inlineStr"/>
      <c r="H11" s="23" t="inlineStr"/>
      <c r="I11" s="23" t="inlineStr"/>
      <c r="J11" s="23" t="inlineStr"/>
      <c r="K11" s="0">
        <f>IF(F11,SUM(G11:I11),"")</f>
        <v/>
      </c>
      <c r="L11" s="0" t="inlineStr"/>
    </row>
    <row r="12">
      <c r="A12" s="0" t="inlineStr">
        <is>
          <t>game-2</t>
        </is>
      </c>
      <c r="B12" s="0" t="inlineStr">
        <is>
          <t>Brad Out</t>
        </is>
      </c>
      <c r="C12" s="0" t="inlineStr">
        <is>
          <t>zak</t>
        </is>
      </c>
      <c r="D12" s="0" t="inlineStr">
        <is>
          <t>Zak</t>
        </is>
      </c>
      <c r="E12" s="0" t="inlineStr">
        <is>
          <t>Team B</t>
        </is>
      </c>
      <c r="F12" s="23" t="b">
        <v>0</v>
      </c>
      <c r="G12" s="23" t="inlineStr"/>
      <c r="H12" s="23" t="inlineStr"/>
      <c r="I12" s="23" t="inlineStr"/>
      <c r="J12" s="23" t="inlineStr"/>
      <c r="K12" s="0">
        <f>IF(F12,SUM(G12:I12),"")</f>
        <v/>
      </c>
      <c r="L12" s="0" t="inlineStr"/>
    </row>
    <row r="13">
      <c r="A13" s="0" t="inlineStr">
        <is>
          <t>game-2</t>
        </is>
      </c>
      <c r="B13" s="0" t="inlineStr">
        <is>
          <t>Brad Out</t>
        </is>
      </c>
      <c r="C13" s="0" t="inlineStr">
        <is>
          <t>james</t>
        </is>
      </c>
      <c r="D13" s="0" t="inlineStr">
        <is>
          <t>James</t>
        </is>
      </c>
      <c r="E13" s="0" t="inlineStr">
        <is>
          <t>Team B</t>
        </is>
      </c>
      <c r="F13" s="23" t="b">
        <v>0</v>
      </c>
      <c r="G13" s="23" t="inlineStr"/>
      <c r="H13" s="23" t="inlineStr"/>
      <c r="I13" s="23" t="inlineStr"/>
      <c r="J13" s="23" t="inlineStr"/>
      <c r="K13" s="0">
        <f>IF(F13,SUM(G13:I13),"")</f>
        <v/>
      </c>
      <c r="L13" s="0" t="inlineStr"/>
    </row>
    <row r="14">
      <c r="A14" s="0" t="inlineStr">
        <is>
          <t>game-2</t>
        </is>
      </c>
      <c r="B14" s="0" t="inlineStr">
        <is>
          <t>Brad Out</t>
        </is>
      </c>
      <c r="C14" s="0" t="inlineStr">
        <is>
          <t>emil</t>
        </is>
      </c>
      <c r="D14" s="0" t="inlineStr">
        <is>
          <t>Emil</t>
        </is>
      </c>
      <c r="E14" s="0" t="inlineStr">
        <is>
          <t>Team C</t>
        </is>
      </c>
      <c r="F14" s="23" t="b">
        <v>0</v>
      </c>
      <c r="G14" s="23" t="inlineStr"/>
      <c r="H14" s="23" t="inlineStr"/>
      <c r="I14" s="23" t="inlineStr"/>
      <c r="J14" s="23" t="inlineStr"/>
      <c r="K14" s="0">
        <f>IF(F14,SUM(G14:I14),"")</f>
        <v/>
      </c>
      <c r="L14" s="0" t="inlineStr"/>
    </row>
    <row r="15">
      <c r="A15" s="0" t="inlineStr">
        <is>
          <t>game-2</t>
        </is>
      </c>
      <c r="B15" s="0" t="inlineStr">
        <is>
          <t>Brad Out</t>
        </is>
      </c>
      <c r="C15" s="0" t="inlineStr">
        <is>
          <t>darryl</t>
        </is>
      </c>
      <c r="D15" s="0" t="inlineStr">
        <is>
          <t>Darryl</t>
        </is>
      </c>
      <c r="E15" s="0" t="inlineStr">
        <is>
          <t>Team C</t>
        </is>
      </c>
      <c r="F15" s="23" t="b">
        <v>0</v>
      </c>
      <c r="G15" s="23" t="inlineStr"/>
      <c r="H15" s="23" t="inlineStr"/>
      <c r="I15" s="23" t="inlineStr"/>
      <c r="J15" s="23" t="inlineStr"/>
      <c r="K15" s="0">
        <f>IF(F15,SUM(G15:I15),"")</f>
        <v/>
      </c>
      <c r="L15" s="0" t="inlineStr"/>
    </row>
    <row r="16">
      <c r="A16" s="0" t="inlineStr">
        <is>
          <t>game-2</t>
        </is>
      </c>
      <c r="B16" s="0" t="inlineStr">
        <is>
          <t>Brad Out</t>
        </is>
      </c>
      <c r="C16" s="0" t="inlineStr">
        <is>
          <t>berler</t>
        </is>
      </c>
      <c r="D16" s="0" t="inlineStr">
        <is>
          <t>Berler</t>
        </is>
      </c>
      <c r="E16" s="0" t="inlineStr">
        <is>
          <t>Team C</t>
        </is>
      </c>
      <c r="F16" s="23" t="b">
        <v>0</v>
      </c>
      <c r="G16" s="23" t="inlineStr"/>
      <c r="H16" s="23" t="inlineStr"/>
      <c r="I16" s="23" t="inlineStr"/>
      <c r="J16" s="23" t="inlineStr"/>
      <c r="K16" s="0">
        <f>IF(F16,SUM(G16:I16),"")</f>
        <v/>
      </c>
      <c r="L16" s="0" t="inlineStr"/>
    </row>
    <row r="17">
      <c r="A17" s="0" t="inlineStr">
        <is>
          <t>game-2</t>
        </is>
      </c>
      <c r="B17" s="0" t="inlineStr">
        <is>
          <t>Brad Out</t>
        </is>
      </c>
      <c r="C17" s="0" t="inlineStr">
        <is>
          <t>alan</t>
        </is>
      </c>
      <c r="D17" s="0" t="inlineStr">
        <is>
          <t>Alan</t>
        </is>
      </c>
      <c r="E17" s="0" t="inlineStr">
        <is>
          <t>Team C</t>
        </is>
      </c>
      <c r="F17" s="23" t="b">
        <v>0</v>
      </c>
      <c r="G17" s="23" t="inlineStr"/>
      <c r="H17" s="23" t="inlineStr"/>
      <c r="I17" s="23" t="inlineStr"/>
      <c r="J17" s="23" t="inlineStr"/>
      <c r="K17" s="0">
        <f>IF(F17,SUM(G17:I17),"")</f>
        <v/>
      </c>
      <c r="L17" s="0" t="inlineStr"/>
    </row>
    <row r="18">
      <c r="A18" s="0" t="inlineStr">
        <is>
          <t>game-3</t>
        </is>
      </c>
      <c r="B18" s="0" t="inlineStr">
        <is>
          <t>Brad Out</t>
        </is>
      </c>
      <c r="C18" s="0" t="inlineStr">
        <is>
          <t>alex</t>
        </is>
      </c>
      <c r="D18" s="0" t="inlineStr">
        <is>
          <t>Alex</t>
        </is>
      </c>
      <c r="E18" s="0" t="inlineStr">
        <is>
          <t>Team A</t>
        </is>
      </c>
      <c r="F18" s="23" t="b">
        <v>0</v>
      </c>
      <c r="G18" s="23" t="inlineStr"/>
      <c r="H18" s="23" t="inlineStr"/>
      <c r="I18" s="23" t="inlineStr"/>
      <c r="J18" s="23" t="inlineStr"/>
      <c r="K18" s="0">
        <f>IF(F18,SUM(G18:I18),"")</f>
        <v/>
      </c>
      <c r="L18" s="0" t="inlineStr"/>
    </row>
    <row r="19">
      <c r="A19" s="0" t="inlineStr">
        <is>
          <t>game-3</t>
        </is>
      </c>
      <c r="B19" s="0" t="inlineStr">
        <is>
          <t>Brad Out</t>
        </is>
      </c>
      <c r="C19" s="0" t="inlineStr">
        <is>
          <t>peter</t>
        </is>
      </c>
      <c r="D19" s="0" t="inlineStr">
        <is>
          <t>Peter</t>
        </is>
      </c>
      <c r="E19" s="0" t="inlineStr">
        <is>
          <t>Team A</t>
        </is>
      </c>
      <c r="F19" s="23" t="b">
        <v>0</v>
      </c>
      <c r="G19" s="23" t="inlineStr"/>
      <c r="H19" s="23" t="inlineStr"/>
      <c r="I19" s="23" t="inlineStr"/>
      <c r="J19" s="23" t="inlineStr"/>
      <c r="K19" s="0">
        <f>IF(F19,SUM(G19:I19),"")</f>
        <v/>
      </c>
      <c r="L19" s="0" t="inlineStr"/>
    </row>
    <row r="20">
      <c r="A20" s="0" t="inlineStr">
        <is>
          <t>game-3</t>
        </is>
      </c>
      <c r="B20" s="0" t="inlineStr">
        <is>
          <t>Brad Out</t>
        </is>
      </c>
      <c r="C20" s="0" t="inlineStr">
        <is>
          <t>andrew</t>
        </is>
      </c>
      <c r="D20" s="0" t="inlineStr">
        <is>
          <t>Andrew</t>
        </is>
      </c>
      <c r="E20" s="0" t="inlineStr">
        <is>
          <t>Team A</t>
        </is>
      </c>
      <c r="F20" s="23" t="b">
        <v>0</v>
      </c>
      <c r="G20" s="23" t="inlineStr"/>
      <c r="H20" s="23" t="inlineStr"/>
      <c r="I20" s="23" t="inlineStr"/>
      <c r="J20" s="23" t="inlineStr"/>
      <c r="K20" s="0">
        <f>IF(F20,SUM(G20:I20),"")</f>
        <v/>
      </c>
      <c r="L20" s="0" t="inlineStr"/>
    </row>
    <row r="21">
      <c r="A21" s="0" t="inlineStr">
        <is>
          <t>game-3</t>
        </is>
      </c>
      <c r="B21" s="0" t="inlineStr">
        <is>
          <t>Brad Out</t>
        </is>
      </c>
      <c r="C21" s="0" t="inlineStr">
        <is>
          <t>jason</t>
        </is>
      </c>
      <c r="D21" s="0" t="inlineStr">
        <is>
          <t>Jason</t>
        </is>
      </c>
      <c r="E21" s="0" t="inlineStr">
        <is>
          <t>Team A</t>
        </is>
      </c>
      <c r="F21" s="23" t="b">
        <v>0</v>
      </c>
      <c r="G21" s="23" t="inlineStr"/>
      <c r="H21" s="23" t="inlineStr"/>
      <c r="I21" s="23" t="inlineStr"/>
      <c r="J21" s="23" t="inlineStr"/>
      <c r="K21" s="0">
        <f>IF(F21,SUM(G21:I21),"")</f>
        <v/>
      </c>
      <c r="L21" s="0" t="inlineStr"/>
    </row>
    <row r="22">
      <c r="A22" s="0" t="inlineStr">
        <is>
          <t>game-3</t>
        </is>
      </c>
      <c r="B22" s="0" t="inlineStr">
        <is>
          <t>Brad Out</t>
        </is>
      </c>
      <c r="C22" s="0" t="inlineStr">
        <is>
          <t>emil</t>
        </is>
      </c>
      <c r="D22" s="0" t="inlineStr">
        <is>
          <t>Emil</t>
        </is>
      </c>
      <c r="E22" s="0" t="inlineStr">
        <is>
          <t>Team C</t>
        </is>
      </c>
      <c r="F22" s="23" t="b">
        <v>0</v>
      </c>
      <c r="G22" s="23" t="inlineStr"/>
      <c r="H22" s="23" t="inlineStr"/>
      <c r="I22" s="23" t="inlineStr"/>
      <c r="J22" s="23" t="inlineStr"/>
      <c r="K22" s="0">
        <f>IF(F22,SUM(G22:I22),"")</f>
        <v/>
      </c>
      <c r="L22" s="0" t="inlineStr"/>
    </row>
    <row r="23">
      <c r="A23" s="0" t="inlineStr">
        <is>
          <t>game-3</t>
        </is>
      </c>
      <c r="B23" s="0" t="inlineStr">
        <is>
          <t>Brad Out</t>
        </is>
      </c>
      <c r="C23" s="0" t="inlineStr">
        <is>
          <t>darryl</t>
        </is>
      </c>
      <c r="D23" s="0" t="inlineStr">
        <is>
          <t>Darryl</t>
        </is>
      </c>
      <c r="E23" s="0" t="inlineStr">
        <is>
          <t>Team C</t>
        </is>
      </c>
      <c r="F23" s="23" t="b">
        <v>0</v>
      </c>
      <c r="G23" s="23" t="inlineStr"/>
      <c r="H23" s="23" t="inlineStr"/>
      <c r="I23" s="23" t="inlineStr"/>
      <c r="J23" s="23" t="inlineStr"/>
      <c r="K23" s="0">
        <f>IF(F23,SUM(G23:I23),"")</f>
        <v/>
      </c>
      <c r="L23" s="0" t="inlineStr"/>
    </row>
    <row r="24">
      <c r="A24" s="0" t="inlineStr">
        <is>
          <t>game-3</t>
        </is>
      </c>
      <c r="B24" s="0" t="inlineStr">
        <is>
          <t>Brad Out</t>
        </is>
      </c>
      <c r="C24" s="0" t="inlineStr">
        <is>
          <t>berler</t>
        </is>
      </c>
      <c r="D24" s="0" t="inlineStr">
        <is>
          <t>Berler</t>
        </is>
      </c>
      <c r="E24" s="0" t="inlineStr">
        <is>
          <t>Team C</t>
        </is>
      </c>
      <c r="F24" s="23" t="b">
        <v>0</v>
      </c>
      <c r="G24" s="23" t="inlineStr"/>
      <c r="H24" s="23" t="inlineStr"/>
      <c r="I24" s="23" t="inlineStr"/>
      <c r="J24" s="23" t="inlineStr"/>
      <c r="K24" s="0">
        <f>IF(F24,SUM(G24:I24),"")</f>
        <v/>
      </c>
      <c r="L24" s="0" t="inlineStr"/>
    </row>
    <row r="25">
      <c r="A25" s="0" t="inlineStr">
        <is>
          <t>game-3</t>
        </is>
      </c>
      <c r="B25" s="0" t="inlineStr">
        <is>
          <t>Brad Out</t>
        </is>
      </c>
      <c r="C25" s="0" t="inlineStr">
        <is>
          <t>alan</t>
        </is>
      </c>
      <c r="D25" s="0" t="inlineStr">
        <is>
          <t>Alan</t>
        </is>
      </c>
      <c r="E25" s="0" t="inlineStr">
        <is>
          <t>Team C</t>
        </is>
      </c>
      <c r="F25" s="23" t="b">
        <v>0</v>
      </c>
      <c r="G25" s="23" t="inlineStr"/>
      <c r="H25" s="23" t="inlineStr"/>
      <c r="I25" s="23" t="inlineStr"/>
      <c r="J25" s="23" t="inlineStr"/>
      <c r="K25" s="0">
        <f>IF(F25,SUM(G25:I25),"")</f>
        <v/>
      </c>
      <c r="L25" s="0" t="inlineStr"/>
    </row>
    <row r="26">
      <c r="A26" s="0" t="inlineStr">
        <is>
          <t>game-1</t>
        </is>
      </c>
      <c r="B26" s="0" t="inlineStr">
        <is>
          <t>Brad Plays</t>
        </is>
      </c>
      <c r="C26" s="0" t="inlineStr">
        <is>
          <t>alex</t>
        </is>
      </c>
      <c r="D26" s="0" t="inlineStr">
        <is>
          <t>Alex</t>
        </is>
      </c>
      <c r="E26" s="0" t="inlineStr">
        <is>
          <t>Team A</t>
        </is>
      </c>
      <c r="F26" s="23" t="b">
        <v>0</v>
      </c>
      <c r="G26" s="23" t="inlineStr"/>
      <c r="H26" s="23" t="inlineStr"/>
      <c r="I26" s="23" t="inlineStr"/>
      <c r="J26" s="23" t="inlineStr"/>
      <c r="K26" s="0">
        <f>IF(F26,SUM(G26:I26),"")</f>
        <v/>
      </c>
      <c r="L26" s="0" t="inlineStr"/>
    </row>
    <row r="27">
      <c r="A27" s="0" t="inlineStr">
        <is>
          <t>game-1</t>
        </is>
      </c>
      <c r="B27" s="0" t="inlineStr">
        <is>
          <t>Brad Plays</t>
        </is>
      </c>
      <c r="C27" s="0" t="inlineStr">
        <is>
          <t>peter</t>
        </is>
      </c>
      <c r="D27" s="0" t="inlineStr">
        <is>
          <t>Peter</t>
        </is>
      </c>
      <c r="E27" s="0" t="inlineStr">
        <is>
          <t>Team A</t>
        </is>
      </c>
      <c r="F27" s="23" t="b">
        <v>0</v>
      </c>
      <c r="G27" s="23" t="inlineStr"/>
      <c r="H27" s="23" t="inlineStr"/>
      <c r="I27" s="23" t="inlineStr"/>
      <c r="J27" s="23" t="inlineStr"/>
      <c r="K27" s="0">
        <f>IF(F27,SUM(G27:I27),"")</f>
        <v/>
      </c>
      <c r="L27" s="0" t="inlineStr"/>
    </row>
    <row r="28">
      <c r="A28" s="0" t="inlineStr">
        <is>
          <t>game-1</t>
        </is>
      </c>
      <c r="B28" s="0" t="inlineStr">
        <is>
          <t>Brad Plays</t>
        </is>
      </c>
      <c r="C28" s="0" t="inlineStr">
        <is>
          <t>josh</t>
        </is>
      </c>
      <c r="D28" s="0" t="inlineStr">
        <is>
          <t>Josh</t>
        </is>
      </c>
      <c r="E28" s="0" t="inlineStr">
        <is>
          <t>Team A</t>
        </is>
      </c>
      <c r="F28" s="23" t="b">
        <v>0</v>
      </c>
      <c r="G28" s="23" t="inlineStr"/>
      <c r="H28" s="23" t="inlineStr"/>
      <c r="I28" s="23" t="inlineStr"/>
      <c r="J28" s="23" t="inlineStr"/>
      <c r="K28" s="0">
        <f>IF(F28,SUM(G28:I28),"")</f>
        <v/>
      </c>
      <c r="L28" s="0" t="inlineStr"/>
    </row>
    <row r="29">
      <c r="A29" s="0" t="inlineStr">
        <is>
          <t>game-1</t>
        </is>
      </c>
      <c r="B29" s="0" t="inlineStr">
        <is>
          <t>Brad Plays</t>
        </is>
      </c>
      <c r="C29" s="0" t="inlineStr">
        <is>
          <t>berler</t>
        </is>
      </c>
      <c r="D29" s="0" t="inlineStr">
        <is>
          <t>Berler</t>
        </is>
      </c>
      <c r="E29" s="0" t="inlineStr">
        <is>
          <t>Team A</t>
        </is>
      </c>
      <c r="F29" s="23" t="b">
        <v>0</v>
      </c>
      <c r="G29" s="23" t="inlineStr"/>
      <c r="H29" s="23" t="inlineStr"/>
      <c r="I29" s="23" t="inlineStr"/>
      <c r="J29" s="23" t="inlineStr"/>
      <c r="K29" s="0">
        <f>IF(F29,SUM(G29:I29),"")</f>
        <v/>
      </c>
      <c r="L29" s="0" t="inlineStr">
        <is>
          <t>Shared sub slot</t>
        </is>
      </c>
    </row>
    <row r="30">
      <c r="A30" s="0" t="inlineStr">
        <is>
          <t>game-1</t>
        </is>
      </c>
      <c r="B30" s="0" t="inlineStr">
        <is>
          <t>Brad Plays</t>
        </is>
      </c>
      <c r="C30" s="0" t="inlineStr">
        <is>
          <t>jason</t>
        </is>
      </c>
      <c r="D30" s="0" t="inlineStr">
        <is>
          <t>Jason</t>
        </is>
      </c>
      <c r="E30" s="0" t="inlineStr">
        <is>
          <t>Team A</t>
        </is>
      </c>
      <c r="F30" s="23" t="b">
        <v>0</v>
      </c>
      <c r="G30" s="23" t="inlineStr"/>
      <c r="H30" s="23" t="inlineStr"/>
      <c r="I30" s="23" t="inlineStr"/>
      <c r="J30" s="23" t="inlineStr"/>
      <c r="K30" s="0">
        <f>IF(F30,SUM(G30:I30),"")</f>
        <v/>
      </c>
      <c r="L30" s="0" t="inlineStr">
        <is>
          <t>Shared sub slot</t>
        </is>
      </c>
    </row>
    <row r="31">
      <c r="A31" s="0" t="inlineStr">
        <is>
          <t>game-1</t>
        </is>
      </c>
      <c r="B31" s="0" t="inlineStr">
        <is>
          <t>Brad Plays</t>
        </is>
      </c>
      <c r="C31" s="0" t="inlineStr">
        <is>
          <t>eric</t>
        </is>
      </c>
      <c r="D31" s="0" t="inlineStr">
        <is>
          <t>Eric</t>
        </is>
      </c>
      <c r="E31" s="0" t="inlineStr">
        <is>
          <t>Team B</t>
        </is>
      </c>
      <c r="F31" s="23" t="b">
        <v>0</v>
      </c>
      <c r="G31" s="23" t="inlineStr"/>
      <c r="H31" s="23" t="inlineStr"/>
      <c r="I31" s="23" t="inlineStr"/>
      <c r="J31" s="23" t="inlineStr"/>
      <c r="K31" s="0">
        <f>IF(F31,SUM(G31:I31),"")</f>
        <v/>
      </c>
      <c r="L31" s="0" t="inlineStr"/>
    </row>
    <row r="32">
      <c r="A32" s="0" t="inlineStr">
        <is>
          <t>game-1</t>
        </is>
      </c>
      <c r="B32" s="0" t="inlineStr">
        <is>
          <t>Brad Plays</t>
        </is>
      </c>
      <c r="C32" s="0" t="inlineStr">
        <is>
          <t>zak</t>
        </is>
      </c>
      <c r="D32" s="0" t="inlineStr">
        <is>
          <t>Zak</t>
        </is>
      </c>
      <c r="E32" s="0" t="inlineStr">
        <is>
          <t>Team B</t>
        </is>
      </c>
      <c r="F32" s="23" t="b">
        <v>0</v>
      </c>
      <c r="G32" s="23" t="inlineStr"/>
      <c r="H32" s="23" t="inlineStr"/>
      <c r="I32" s="23" t="inlineStr"/>
      <c r="J32" s="23" t="inlineStr"/>
      <c r="K32" s="0">
        <f>IF(F32,SUM(G32:I32),"")</f>
        <v/>
      </c>
      <c r="L32" s="0" t="inlineStr"/>
    </row>
    <row r="33">
      <c r="A33" s="0" t="inlineStr">
        <is>
          <t>game-1</t>
        </is>
      </c>
      <c r="B33" s="0" t="inlineStr">
        <is>
          <t>Brad Plays</t>
        </is>
      </c>
      <c r="C33" s="0" t="inlineStr">
        <is>
          <t>brad</t>
        </is>
      </c>
      <c r="D33" s="0" t="inlineStr">
        <is>
          <t>Brad</t>
        </is>
      </c>
      <c r="E33" s="0" t="inlineStr">
        <is>
          <t>Team B</t>
        </is>
      </c>
      <c r="F33" s="23" t="b">
        <v>0</v>
      </c>
      <c r="G33" s="23" t="inlineStr"/>
      <c r="H33" s="23" t="inlineStr"/>
      <c r="I33" s="23" t="inlineStr"/>
      <c r="J33" s="23" t="inlineStr"/>
      <c r="K33" s="0">
        <f>IF(F33,SUM(G33:I33),"")</f>
        <v/>
      </c>
      <c r="L33" s="0" t="inlineStr"/>
    </row>
    <row r="34">
      <c r="A34" s="0" t="inlineStr">
        <is>
          <t>game-1</t>
        </is>
      </c>
      <c r="B34" s="0" t="inlineStr">
        <is>
          <t>Brad Plays</t>
        </is>
      </c>
      <c r="C34" s="0" t="inlineStr">
        <is>
          <t>james</t>
        </is>
      </c>
      <c r="D34" s="0" t="inlineStr">
        <is>
          <t>James</t>
        </is>
      </c>
      <c r="E34" s="0" t="inlineStr">
        <is>
          <t>Team B</t>
        </is>
      </c>
      <c r="F34" s="23" t="b">
        <v>0</v>
      </c>
      <c r="G34" s="23" t="inlineStr"/>
      <c r="H34" s="23" t="inlineStr"/>
      <c r="I34" s="23" t="inlineStr"/>
      <c r="J34" s="23" t="inlineStr"/>
      <c r="K34" s="0">
        <f>IF(F34,SUM(G34:I34),"")</f>
        <v/>
      </c>
      <c r="L34" s="0" t="inlineStr"/>
    </row>
    <row r="35">
      <c r="A35" s="0" t="inlineStr">
        <is>
          <t>game-2</t>
        </is>
      </c>
      <c r="B35" s="0" t="inlineStr">
        <is>
          <t>Brad Plays</t>
        </is>
      </c>
      <c r="C35" s="0" t="inlineStr">
        <is>
          <t>eric</t>
        </is>
      </c>
      <c r="D35" s="0" t="inlineStr">
        <is>
          <t>Eric</t>
        </is>
      </c>
      <c r="E35" s="0" t="inlineStr">
        <is>
          <t>Team B</t>
        </is>
      </c>
      <c r="F35" s="23" t="b">
        <v>0</v>
      </c>
      <c r="G35" s="23" t="inlineStr"/>
      <c r="H35" s="23" t="inlineStr"/>
      <c r="I35" s="23" t="inlineStr"/>
      <c r="J35" s="23" t="inlineStr"/>
      <c r="K35" s="0">
        <f>IF(F35,SUM(G35:I35),"")</f>
        <v/>
      </c>
      <c r="L35" s="0" t="inlineStr"/>
    </row>
    <row r="36">
      <c r="A36" s="0" t="inlineStr">
        <is>
          <t>game-2</t>
        </is>
      </c>
      <c r="B36" s="0" t="inlineStr">
        <is>
          <t>Brad Plays</t>
        </is>
      </c>
      <c r="C36" s="0" t="inlineStr">
        <is>
          <t>zak</t>
        </is>
      </c>
      <c r="D36" s="0" t="inlineStr">
        <is>
          <t>Zak</t>
        </is>
      </c>
      <c r="E36" s="0" t="inlineStr">
        <is>
          <t>Team B</t>
        </is>
      </c>
      <c r="F36" s="23" t="b">
        <v>0</v>
      </c>
      <c r="G36" s="23" t="inlineStr"/>
      <c r="H36" s="23" t="inlineStr"/>
      <c r="I36" s="23" t="inlineStr"/>
      <c r="J36" s="23" t="inlineStr"/>
      <c r="K36" s="0">
        <f>IF(F36,SUM(G36:I36),"")</f>
        <v/>
      </c>
      <c r="L36" s="0" t="inlineStr"/>
    </row>
    <row r="37">
      <c r="A37" s="0" t="inlineStr">
        <is>
          <t>game-2</t>
        </is>
      </c>
      <c r="B37" s="0" t="inlineStr">
        <is>
          <t>Brad Plays</t>
        </is>
      </c>
      <c r="C37" s="0" t="inlineStr">
        <is>
          <t>brad</t>
        </is>
      </c>
      <c r="D37" s="0" t="inlineStr">
        <is>
          <t>Brad</t>
        </is>
      </c>
      <c r="E37" s="0" t="inlineStr">
        <is>
          <t>Team B</t>
        </is>
      </c>
      <c r="F37" s="23" t="b">
        <v>0</v>
      </c>
      <c r="G37" s="23" t="inlineStr"/>
      <c r="H37" s="23" t="inlineStr"/>
      <c r="I37" s="23" t="inlineStr"/>
      <c r="J37" s="23" t="inlineStr"/>
      <c r="K37" s="0">
        <f>IF(F37,SUM(G37:I37),"")</f>
        <v/>
      </c>
      <c r="L37" s="0" t="inlineStr"/>
    </row>
    <row r="38">
      <c r="A38" s="0" t="inlineStr">
        <is>
          <t>game-2</t>
        </is>
      </c>
      <c r="B38" s="0" t="inlineStr">
        <is>
          <t>Brad Plays</t>
        </is>
      </c>
      <c r="C38" s="0" t="inlineStr">
        <is>
          <t>james</t>
        </is>
      </c>
      <c r="D38" s="0" t="inlineStr">
        <is>
          <t>James</t>
        </is>
      </c>
      <c r="E38" s="0" t="inlineStr">
        <is>
          <t>Team B</t>
        </is>
      </c>
      <c r="F38" s="23" t="b">
        <v>0</v>
      </c>
      <c r="G38" s="23" t="inlineStr"/>
      <c r="H38" s="23" t="inlineStr"/>
      <c r="I38" s="23" t="inlineStr"/>
      <c r="J38" s="23" t="inlineStr"/>
      <c r="K38" s="0">
        <f>IF(F38,SUM(G38:I38),"")</f>
        <v/>
      </c>
      <c r="L38" s="0" t="inlineStr"/>
    </row>
    <row r="39">
      <c r="A39" s="0" t="inlineStr">
        <is>
          <t>game-2</t>
        </is>
      </c>
      <c r="B39" s="0" t="inlineStr">
        <is>
          <t>Brad Plays</t>
        </is>
      </c>
      <c r="C39" s="0" t="inlineStr">
        <is>
          <t>emil</t>
        </is>
      </c>
      <c r="D39" s="0" t="inlineStr">
        <is>
          <t>Emil</t>
        </is>
      </c>
      <c r="E39" s="0" t="inlineStr">
        <is>
          <t>Team C</t>
        </is>
      </c>
      <c r="F39" s="23" t="b">
        <v>0</v>
      </c>
      <c r="G39" s="23" t="inlineStr"/>
      <c r="H39" s="23" t="inlineStr"/>
      <c r="I39" s="23" t="inlineStr"/>
      <c r="J39" s="23" t="inlineStr"/>
      <c r="K39" s="0">
        <f>IF(F39,SUM(G39:I39),"")</f>
        <v/>
      </c>
      <c r="L39" s="0" t="inlineStr"/>
    </row>
    <row r="40">
      <c r="A40" s="0" t="inlineStr">
        <is>
          <t>game-2</t>
        </is>
      </c>
      <c r="B40" s="0" t="inlineStr">
        <is>
          <t>Brad Plays</t>
        </is>
      </c>
      <c r="C40" s="0" t="inlineStr">
        <is>
          <t>darryl</t>
        </is>
      </c>
      <c r="D40" s="0" t="inlineStr">
        <is>
          <t>Darryl</t>
        </is>
      </c>
      <c r="E40" s="0" t="inlineStr">
        <is>
          <t>Team C</t>
        </is>
      </c>
      <c r="F40" s="23" t="b">
        <v>0</v>
      </c>
      <c r="G40" s="23" t="inlineStr"/>
      <c r="H40" s="23" t="inlineStr"/>
      <c r="I40" s="23" t="inlineStr"/>
      <c r="J40" s="23" t="inlineStr"/>
      <c r="K40" s="0">
        <f>IF(F40,SUM(G40:I40),"")</f>
        <v/>
      </c>
      <c r="L40" s="0" t="inlineStr"/>
    </row>
    <row r="41">
      <c r="A41" s="0" t="inlineStr">
        <is>
          <t>game-2</t>
        </is>
      </c>
      <c r="B41" s="0" t="inlineStr">
        <is>
          <t>Brad Plays</t>
        </is>
      </c>
      <c r="C41" s="0" t="inlineStr">
        <is>
          <t>alan</t>
        </is>
      </c>
      <c r="D41" s="0" t="inlineStr">
        <is>
          <t>Alan</t>
        </is>
      </c>
      <c r="E41" s="0" t="inlineStr">
        <is>
          <t>Team C</t>
        </is>
      </c>
      <c r="F41" s="23" t="b">
        <v>0</v>
      </c>
      <c r="G41" s="23" t="inlineStr"/>
      <c r="H41" s="23" t="inlineStr"/>
      <c r="I41" s="23" t="inlineStr"/>
      <c r="J41" s="23" t="inlineStr"/>
      <c r="K41" s="0">
        <f>IF(F41,SUM(G41:I41),"")</f>
        <v/>
      </c>
      <c r="L41" s="0" t="inlineStr"/>
    </row>
    <row r="42">
      <c r="A42" s="0" t="inlineStr">
        <is>
          <t>game-2</t>
        </is>
      </c>
      <c r="B42" s="0" t="inlineStr">
        <is>
          <t>Brad Plays</t>
        </is>
      </c>
      <c r="C42" s="0" t="inlineStr">
        <is>
          <t>andrew</t>
        </is>
      </c>
      <c r="D42" s="0" t="inlineStr">
        <is>
          <t>Andrew</t>
        </is>
      </c>
      <c r="E42" s="0" t="inlineStr">
        <is>
          <t>Team C</t>
        </is>
      </c>
      <c r="F42" s="23" t="b">
        <v>0</v>
      </c>
      <c r="G42" s="23" t="inlineStr"/>
      <c r="H42" s="23" t="inlineStr"/>
      <c r="I42" s="23" t="inlineStr"/>
      <c r="J42" s="23" t="inlineStr"/>
      <c r="K42" s="0">
        <f>IF(F42,SUM(G42:I42),"")</f>
        <v/>
      </c>
      <c r="L42" s="0" t="inlineStr"/>
    </row>
    <row r="43">
      <c r="A43" s="0" t="inlineStr">
        <is>
          <t>game-3</t>
        </is>
      </c>
      <c r="B43" s="0" t="inlineStr">
        <is>
          <t>Brad Plays</t>
        </is>
      </c>
      <c r="C43" s="0" t="inlineStr">
        <is>
          <t>alex</t>
        </is>
      </c>
      <c r="D43" s="0" t="inlineStr">
        <is>
          <t>Alex</t>
        </is>
      </c>
      <c r="E43" s="0" t="inlineStr">
        <is>
          <t>Team A</t>
        </is>
      </c>
      <c r="F43" s="23" t="b">
        <v>0</v>
      </c>
      <c r="G43" s="23" t="inlineStr"/>
      <c r="H43" s="23" t="inlineStr"/>
      <c r="I43" s="23" t="inlineStr"/>
      <c r="J43" s="23" t="inlineStr"/>
      <c r="K43" s="0">
        <f>IF(F43,SUM(G43:I43),"")</f>
        <v/>
      </c>
      <c r="L43" s="0" t="inlineStr"/>
    </row>
    <row r="44">
      <c r="A44" s="0" t="inlineStr">
        <is>
          <t>game-3</t>
        </is>
      </c>
      <c r="B44" s="0" t="inlineStr">
        <is>
          <t>Brad Plays</t>
        </is>
      </c>
      <c r="C44" s="0" t="inlineStr">
        <is>
          <t>peter</t>
        </is>
      </c>
      <c r="D44" s="0" t="inlineStr">
        <is>
          <t>Peter</t>
        </is>
      </c>
      <c r="E44" s="0" t="inlineStr">
        <is>
          <t>Team A</t>
        </is>
      </c>
      <c r="F44" s="23" t="b">
        <v>0</v>
      </c>
      <c r="G44" s="23" t="inlineStr"/>
      <c r="H44" s="23" t="inlineStr"/>
      <c r="I44" s="23" t="inlineStr"/>
      <c r="J44" s="23" t="inlineStr"/>
      <c r="K44" s="0">
        <f>IF(F44,SUM(G44:I44),"")</f>
        <v/>
      </c>
      <c r="L44" s="0" t="inlineStr"/>
    </row>
    <row r="45">
      <c r="A45" s="0" t="inlineStr">
        <is>
          <t>game-3</t>
        </is>
      </c>
      <c r="B45" s="0" t="inlineStr">
        <is>
          <t>Brad Plays</t>
        </is>
      </c>
      <c r="C45" s="0" t="inlineStr">
        <is>
          <t>josh</t>
        </is>
      </c>
      <c r="D45" s="0" t="inlineStr">
        <is>
          <t>Josh</t>
        </is>
      </c>
      <c r="E45" s="0" t="inlineStr">
        <is>
          <t>Team A</t>
        </is>
      </c>
      <c r="F45" s="23" t="b">
        <v>0</v>
      </c>
      <c r="G45" s="23" t="inlineStr"/>
      <c r="H45" s="23" t="inlineStr"/>
      <c r="I45" s="23" t="inlineStr"/>
      <c r="J45" s="23" t="inlineStr"/>
      <c r="K45" s="0">
        <f>IF(F45,SUM(G45:I45),"")</f>
        <v/>
      </c>
      <c r="L45" s="0" t="inlineStr"/>
    </row>
    <row r="46">
      <c r="A46" s="0" t="inlineStr">
        <is>
          <t>game-3</t>
        </is>
      </c>
      <c r="B46" s="0" t="inlineStr">
        <is>
          <t>Brad Plays</t>
        </is>
      </c>
      <c r="C46" s="0" t="inlineStr">
        <is>
          <t>berler</t>
        </is>
      </c>
      <c r="D46" s="0" t="inlineStr">
        <is>
          <t>Berler</t>
        </is>
      </c>
      <c r="E46" s="0" t="inlineStr">
        <is>
          <t>Team A</t>
        </is>
      </c>
      <c r="F46" s="23" t="b">
        <v>0</v>
      </c>
      <c r="G46" s="23" t="inlineStr"/>
      <c r="H46" s="23" t="inlineStr"/>
      <c r="I46" s="23" t="inlineStr"/>
      <c r="J46" s="23" t="inlineStr"/>
      <c r="K46" s="0">
        <f>IF(F46,SUM(G46:I46),"")</f>
        <v/>
      </c>
      <c r="L46" s="0" t="inlineStr">
        <is>
          <t>Shared sub slot</t>
        </is>
      </c>
    </row>
    <row r="47">
      <c r="A47" s="0" t="inlineStr">
        <is>
          <t>game-3</t>
        </is>
      </c>
      <c r="B47" s="0" t="inlineStr">
        <is>
          <t>Brad Plays</t>
        </is>
      </c>
      <c r="C47" s="0" t="inlineStr">
        <is>
          <t>jason</t>
        </is>
      </c>
      <c r="D47" s="0" t="inlineStr">
        <is>
          <t>Jason</t>
        </is>
      </c>
      <c r="E47" s="0" t="inlineStr">
        <is>
          <t>Team A</t>
        </is>
      </c>
      <c r="F47" s="23" t="b">
        <v>0</v>
      </c>
      <c r="G47" s="23" t="inlineStr"/>
      <c r="H47" s="23" t="inlineStr"/>
      <c r="I47" s="23" t="inlineStr"/>
      <c r="J47" s="23" t="inlineStr"/>
      <c r="K47" s="0">
        <f>IF(F47,SUM(G47:I47),"")</f>
        <v/>
      </c>
      <c r="L47" s="0" t="inlineStr">
        <is>
          <t>Shared sub slot</t>
        </is>
      </c>
    </row>
    <row r="48">
      <c r="A48" s="0" t="inlineStr">
        <is>
          <t>game-3</t>
        </is>
      </c>
      <c r="B48" s="0" t="inlineStr">
        <is>
          <t>Brad Plays</t>
        </is>
      </c>
      <c r="C48" s="0" t="inlineStr">
        <is>
          <t>emil</t>
        </is>
      </c>
      <c r="D48" s="0" t="inlineStr">
        <is>
          <t>Emil</t>
        </is>
      </c>
      <c r="E48" s="0" t="inlineStr">
        <is>
          <t>Team C</t>
        </is>
      </c>
      <c r="F48" s="23" t="b">
        <v>0</v>
      </c>
      <c r="G48" s="23" t="inlineStr"/>
      <c r="H48" s="23" t="inlineStr"/>
      <c r="I48" s="23" t="inlineStr"/>
      <c r="J48" s="23" t="inlineStr"/>
      <c r="K48" s="0">
        <f>IF(F48,SUM(G48:I48),"")</f>
        <v/>
      </c>
      <c r="L48" s="0" t="inlineStr"/>
    </row>
    <row r="49">
      <c r="A49" s="0" t="inlineStr">
        <is>
          <t>game-3</t>
        </is>
      </c>
      <c r="B49" s="0" t="inlineStr">
        <is>
          <t>Brad Plays</t>
        </is>
      </c>
      <c r="C49" s="0" t="inlineStr">
        <is>
          <t>darryl</t>
        </is>
      </c>
      <c r="D49" s="0" t="inlineStr">
        <is>
          <t>Darryl</t>
        </is>
      </c>
      <c r="E49" s="0" t="inlineStr">
        <is>
          <t>Team C</t>
        </is>
      </c>
      <c r="F49" s="23" t="b">
        <v>0</v>
      </c>
      <c r="G49" s="23" t="inlineStr"/>
      <c r="H49" s="23" t="inlineStr"/>
      <c r="I49" s="23" t="inlineStr"/>
      <c r="J49" s="23" t="inlineStr"/>
      <c r="K49" s="0">
        <f>IF(F49,SUM(G49:I49),"")</f>
        <v/>
      </c>
      <c r="L49" s="0" t="inlineStr"/>
    </row>
    <row r="50">
      <c r="A50" s="0" t="inlineStr">
        <is>
          <t>game-3</t>
        </is>
      </c>
      <c r="B50" s="0" t="inlineStr">
        <is>
          <t>Brad Plays</t>
        </is>
      </c>
      <c r="C50" s="0" t="inlineStr">
        <is>
          <t>alan</t>
        </is>
      </c>
      <c r="D50" s="0" t="inlineStr">
        <is>
          <t>Alan</t>
        </is>
      </c>
      <c r="E50" s="0" t="inlineStr">
        <is>
          <t>Team C</t>
        </is>
      </c>
      <c r="F50" s="23" t="b">
        <v>0</v>
      </c>
      <c r="G50" s="23" t="inlineStr"/>
      <c r="H50" s="23" t="inlineStr"/>
      <c r="I50" s="23" t="inlineStr"/>
      <c r="J50" s="23" t="inlineStr"/>
      <c r="K50" s="0">
        <f>IF(F50,SUM(G50:I50),"")</f>
        <v/>
      </c>
      <c r="L50" s="0" t="inlineStr"/>
    </row>
    <row r="51">
      <c r="A51" s="0" t="inlineStr">
        <is>
          <t>game-3</t>
        </is>
      </c>
      <c r="B51" s="0" t="inlineStr">
        <is>
          <t>Brad Plays</t>
        </is>
      </c>
      <c r="C51" s="0" t="inlineStr">
        <is>
          <t>andrew</t>
        </is>
      </c>
      <c r="D51" s="0" t="inlineStr">
        <is>
          <t>Andrew</t>
        </is>
      </c>
      <c r="E51" s="0" t="inlineStr">
        <is>
          <t>Team C</t>
        </is>
      </c>
      <c r="F51" s="23" t="b">
        <v>0</v>
      </c>
      <c r="G51" s="23" t="inlineStr"/>
      <c r="H51" s="23" t="inlineStr"/>
      <c r="I51" s="23" t="inlineStr"/>
      <c r="J51" s="23" t="inlineStr"/>
      <c r="K51" s="0">
        <f>IF(F51,SUM(G51:I51),"")</f>
        <v/>
      </c>
      <c r="L51" s="0" t="inlineStr"/>
    </row>
  </sheetData>
  <autoFilter ref="A1:L1"/>
  <dataValidations count="1">
    <dataValidation sqref="F2:F5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9" min="1" max="1"/>
    <col width="12" customWidth="1" style="19" min="2" max="2"/>
    <col width="18" customWidth="1" style="19" min="3" max="3"/>
    <col width="48" customWidth="1" style="19" min="4" max="4"/>
  </cols>
  <sheetData>
    <row r="1" ht="30" customHeight="1" s="19">
      <c r="A1" s="22" t="inlineStr">
        <is>
          <t>Bettor</t>
        </is>
      </c>
      <c r="B1" s="22" t="inlineStr">
        <is>
          <t>Active?</t>
        </is>
      </c>
      <c r="C1" s="22" t="inlineStr">
        <is>
          <t>Starting Units</t>
        </is>
      </c>
      <c r="D1" s="22" t="inlineStr">
        <is>
          <t>Notes</t>
        </is>
      </c>
    </row>
    <row r="2">
      <c r="A2" s="23" t="inlineStr"/>
      <c r="B2" s="23" t="b">
        <v>1</v>
      </c>
      <c r="C2" s="23" t="n">
        <v>100</v>
      </c>
      <c r="D2" s="23" t="inlineStr"/>
    </row>
    <row r="3">
      <c r="A3" s="23" t="inlineStr"/>
      <c r="B3" s="23" t="b">
        <v>1</v>
      </c>
      <c r="C3" s="23" t="n">
        <v>100</v>
      </c>
      <c r="D3" s="23" t="inlineStr"/>
    </row>
    <row r="4">
      <c r="A4" s="23" t="inlineStr"/>
      <c r="B4" s="23" t="b">
        <v>1</v>
      </c>
      <c r="C4" s="23" t="n">
        <v>100</v>
      </c>
      <c r="D4" s="23" t="inlineStr"/>
    </row>
    <row r="5">
      <c r="A5" s="23" t="inlineStr"/>
      <c r="B5" s="23" t="b">
        <v>1</v>
      </c>
      <c r="C5" s="23" t="n">
        <v>100</v>
      </c>
      <c r="D5" s="23" t="inlineStr"/>
    </row>
    <row r="6">
      <c r="A6" s="23" t="inlineStr"/>
      <c r="B6" s="23" t="b">
        <v>1</v>
      </c>
      <c r="C6" s="23" t="n">
        <v>100</v>
      </c>
      <c r="D6" s="23" t="inlineStr"/>
    </row>
    <row r="7">
      <c r="A7" s="23" t="inlineStr"/>
      <c r="B7" s="23" t="b">
        <v>1</v>
      </c>
      <c r="C7" s="23" t="n">
        <v>100</v>
      </c>
      <c r="D7" s="23" t="inlineStr"/>
    </row>
    <row r="8">
      <c r="A8" s="23" t="inlineStr"/>
      <c r="B8" s="23" t="b">
        <v>1</v>
      </c>
      <c r="C8" s="23" t="n">
        <v>100</v>
      </c>
      <c r="D8" s="23" t="inlineStr"/>
    </row>
    <row r="9">
      <c r="A9" s="23" t="inlineStr"/>
      <c r="B9" s="23" t="b">
        <v>1</v>
      </c>
      <c r="C9" s="23" t="n">
        <v>100</v>
      </c>
      <c r="D9" s="23" t="inlineStr"/>
    </row>
    <row r="10">
      <c r="A10" s="23" t="inlineStr"/>
      <c r="B10" s="23" t="b">
        <v>1</v>
      </c>
      <c r="C10" s="23" t="n">
        <v>100</v>
      </c>
      <c r="D10" s="23" t="inlineStr"/>
    </row>
    <row r="11">
      <c r="A11" s="23" t="inlineStr"/>
      <c r="B11" s="23" t="b">
        <v>1</v>
      </c>
      <c r="C11" s="23" t="n">
        <v>100</v>
      </c>
      <c r="D11" s="23" t="inlineStr"/>
    </row>
    <row r="12">
      <c r="A12" s="23" t="inlineStr"/>
      <c r="B12" s="23" t="b">
        <v>1</v>
      </c>
      <c r="C12" s="23" t="n">
        <v>100</v>
      </c>
      <c r="D12" s="23" t="inlineStr"/>
    </row>
    <row r="13">
      <c r="A13" s="23" t="inlineStr"/>
      <c r="B13" s="23" t="b">
        <v>1</v>
      </c>
      <c r="C13" s="23" t="n">
        <v>100</v>
      </c>
      <c r="D13" s="23" t="inlineStr"/>
    </row>
    <row r="14">
      <c r="A14" s="23" t="inlineStr"/>
      <c r="B14" s="23" t="b">
        <v>1</v>
      </c>
      <c r="C14" s="23" t="n">
        <v>100</v>
      </c>
      <c r="D14" s="23" t="inlineStr"/>
    </row>
    <row r="15">
      <c r="A15" s="23" t="inlineStr"/>
      <c r="B15" s="23" t="b">
        <v>1</v>
      </c>
      <c r="C15" s="23" t="n">
        <v>100</v>
      </c>
      <c r="D15" s="23" t="inlineStr"/>
    </row>
    <row r="16">
      <c r="A16" s="23" t="inlineStr"/>
      <c r="B16" s="23" t="b">
        <v>1</v>
      </c>
      <c r="C16" s="23" t="n">
        <v>100</v>
      </c>
      <c r="D16" s="23" t="inlineStr"/>
    </row>
    <row r="17">
      <c r="A17" s="23" t="inlineStr"/>
      <c r="B17" s="23" t="b">
        <v>1</v>
      </c>
      <c r="C17" s="23" t="n">
        <v>100</v>
      </c>
      <c r="D17" s="23" t="inlineStr"/>
    </row>
    <row r="18">
      <c r="A18" s="23" t="inlineStr"/>
      <c r="B18" s="23" t="b">
        <v>1</v>
      </c>
      <c r="C18" s="23" t="n">
        <v>100</v>
      </c>
      <c r="D18" s="23" t="inlineStr"/>
    </row>
    <row r="19">
      <c r="A19" s="23" t="inlineStr"/>
      <c r="B19" s="23" t="b">
        <v>1</v>
      </c>
      <c r="C19" s="23" t="n">
        <v>100</v>
      </c>
      <c r="D19" s="23" t="inlineStr"/>
    </row>
    <row r="20">
      <c r="A20" s="23" t="inlineStr"/>
      <c r="B20" s="23" t="b">
        <v>1</v>
      </c>
      <c r="C20" s="23" t="n">
        <v>100</v>
      </c>
      <c r="D20" s="23" t="inlineStr"/>
    </row>
    <row r="21">
      <c r="A21" s="23" t="inlineStr"/>
      <c r="B21" s="23" t="b">
        <v>1</v>
      </c>
      <c r="C21" s="23" t="n">
        <v>100</v>
      </c>
      <c r="D21" s="23" t="inlineStr"/>
    </row>
  </sheetData>
  <autoFilter ref="A1:D1"/>
  <dataValidations count="1">
    <dataValidation sqref="B2:B2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9" min="1" max="1"/>
    <col width="24" customWidth="1" style="19" min="2" max="2"/>
    <col width="22" customWidth="1" style="19" min="3" max="3"/>
    <col width="12" customWidth="1" style="19" min="4" max="4"/>
    <col width="15" customWidth="1" style="19" min="5" max="5"/>
    <col width="15" customWidth="1" style="19" min="6" max="6"/>
    <col width="18" customWidth="1" style="19" min="7" max="7"/>
    <col width="15" customWidth="1" style="19" min="8" max="8"/>
    <col width="13" customWidth="1" style="19" min="9" max="9"/>
    <col width="18" customWidth="1" style="19" min="10" max="10"/>
    <col width="13" customWidth="1" style="19" min="11" max="11"/>
    <col width="15" customWidth="1" style="19" min="12" max="12"/>
    <col width="28" customWidth="1" style="19" min="13" max="13"/>
  </cols>
  <sheetData>
    <row r="1" ht="30" customHeight="1" s="19">
      <c r="A1" s="22" t="inlineStr">
        <is>
          <t>Bet ID</t>
        </is>
      </c>
      <c r="B1" s="22" t="inlineStr">
        <is>
          <t>Submitted At</t>
        </is>
      </c>
      <c r="C1" s="22" t="inlineStr">
        <is>
          <t>Bettor</t>
        </is>
      </c>
      <c r="D1" s="22" t="inlineStr">
        <is>
          <t>Stake</t>
        </is>
      </c>
      <c r="E1" s="22" t="inlineStr">
        <is>
          <t>Decimal Odds</t>
        </is>
      </c>
      <c r="F1" s="22" t="inlineStr">
        <is>
          <t>American Odds</t>
        </is>
      </c>
      <c r="G1" s="22" t="inlineStr">
        <is>
          <t>Potential Return</t>
        </is>
      </c>
      <c r="H1" s="22" t="inlineStr">
        <is>
          <t>Scenario</t>
        </is>
      </c>
      <c r="I1" s="22" t="inlineStr">
        <is>
          <t>Status</t>
        </is>
      </c>
      <c r="J1" s="22" t="inlineStr">
        <is>
          <t>Settled Return</t>
        </is>
      </c>
      <c r="K1" s="22" t="inlineStr">
        <is>
          <t>Profit</t>
        </is>
      </c>
      <c r="L1" s="22" t="inlineStr">
        <is>
          <t>Model Version</t>
        </is>
      </c>
      <c r="M1" s="22" t="inlineStr">
        <is>
          <t>Event ID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9" min="1" max="1"/>
    <col width="10" customWidth="1" style="19" min="2" max="2"/>
    <col width="13" customWidth="1" style="19" min="3" max="3"/>
    <col width="16" customWidth="1" style="19" min="4" max="4"/>
    <col width="22" customWidth="1" style="19" min="5" max="5"/>
    <col width="18" customWidth="1" style="19" min="6" max="6"/>
    <col width="13" customWidth="1" style="19" min="7" max="7"/>
    <col width="13" customWidth="1" style="19" min="8" max="8"/>
    <col width="12" customWidth="1" style="19" min="9" max="9"/>
    <col width="11" customWidth="1" style="19" min="10" max="10"/>
    <col width="45" customWidth="1" style="19" min="11" max="11"/>
    <col width="20" customWidth="1" style="19" min="12" max="12"/>
    <col width="12" customWidth="1" style="19" min="13" max="13"/>
  </cols>
  <sheetData>
    <row r="1" ht="30" customHeight="1" s="19">
      <c r="A1" s="22" t="inlineStr">
        <is>
          <t>Bet ID</t>
        </is>
      </c>
      <c r="B1" s="22" t="inlineStr">
        <is>
          <t>Leg #</t>
        </is>
      </c>
      <c r="C1" s="22" t="inlineStr">
        <is>
          <t>Game ID</t>
        </is>
      </c>
      <c r="D1" s="22" t="inlineStr">
        <is>
          <t>Kind</t>
        </is>
      </c>
      <c r="E1" s="22" t="inlineStr">
        <is>
          <t>Subject</t>
        </is>
      </c>
      <c r="F1" s="22" t="inlineStr">
        <is>
          <t>Player ID</t>
        </is>
      </c>
      <c r="G1" s="22" t="inlineStr">
        <is>
          <t>Team</t>
        </is>
      </c>
      <c r="H1" s="22" t="inlineStr">
        <is>
          <t>Stat</t>
        </is>
      </c>
      <c r="I1" s="22" t="inlineStr">
        <is>
          <t>Side</t>
        </is>
      </c>
      <c r="J1" s="22" t="inlineStr">
        <is>
          <t>Line</t>
        </is>
      </c>
      <c r="K1" s="22" t="inlineStr">
        <is>
          <t>Label</t>
        </is>
      </c>
      <c r="L1" s="22" t="inlineStr">
        <is>
          <t>Leg Decimal Odds</t>
        </is>
      </c>
      <c r="M1" s="22" t="inlineStr">
        <is>
          <t>Grade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9" min="1" max="1"/>
    <col width="12" customWidth="1" style="19" min="2" max="2"/>
    <col width="18" customWidth="1" style="19" min="3" max="3"/>
    <col width="20" customWidth="1" style="19" min="4" max="4"/>
    <col width="14" customWidth="1" style="19" min="5" max="5"/>
    <col width="18" customWidth="1" style="19" min="6" max="6"/>
  </cols>
  <sheetData>
    <row r="1" ht="30" customHeight="1" s="19">
      <c r="A1" s="22" t="inlineStr">
        <is>
          <t>Bettor</t>
        </is>
      </c>
      <c r="B1" s="22" t="inlineStr">
        <is>
          <t>Tickets</t>
        </is>
      </c>
      <c r="C1" s="22" t="inlineStr">
        <is>
          <t>Total Staked</t>
        </is>
      </c>
      <c r="D1" s="22" t="inlineStr">
        <is>
          <t>Settled Return</t>
        </is>
      </c>
      <c r="E1" s="22" t="inlineStr">
        <is>
          <t>Profit</t>
        </is>
      </c>
      <c r="F1" s="22" t="inlineStr">
        <is>
          <t>Units Available</t>
        </is>
      </c>
    </row>
    <row r="2">
      <c r="A2" s="0">
        <f>IFERROR(QUERY({Bets!C2:C,Bets!D2:D,Bets!J2:J,Bets!K2:K},"select Col1,count(Col1),sum(Col2),sum(Col3),sum(Col4) where Col1 is not null group by Col1 order by sum(Col4) desc label Col1 'Bettor',count(Col1) 'Tickets',sum(Col2) 'Total Staked',sum(Col3) 'Settled Return',sum(Col4) 'Profit'",0),"")</f>
        <v/>
      </c>
      <c r="F2" s="0">
        <f>ARRAYFORMULA(IF(A2:A="","",100-C2:C+D2:D))</f>
        <v/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9" min="1" max="1"/>
    <col width="12" customWidth="1" style="19" min="2" max="2"/>
    <col width="13" customWidth="1" style="19" min="3" max="3"/>
    <col width="14" customWidth="1" style="19" min="4" max="4"/>
    <col width="12" customWidth="1" style="19" min="5" max="5"/>
    <col width="18" customWidth="1" style="19" min="6" max="6"/>
    <col width="13" customWidth="1" style="19" min="7" max="7"/>
  </cols>
  <sheetData>
    <row r="1" ht="30" customHeight="1" s="19">
      <c r="A1" s="22" t="inlineStr">
        <is>
          <t>Player</t>
        </is>
      </c>
      <c r="B1" s="22" t="inlineStr">
        <is>
          <t>Games</t>
        </is>
      </c>
      <c r="C1" s="22" t="inlineStr">
        <is>
          <t>Points</t>
        </is>
      </c>
      <c r="D1" s="22" t="inlineStr">
        <is>
          <t>Rebounds</t>
        </is>
      </c>
      <c r="E1" s="22" t="inlineStr">
        <is>
          <t>Assists</t>
        </is>
      </c>
      <c r="F1" s="22" t="inlineStr">
        <is>
          <t>Three Pointers</t>
        </is>
      </c>
      <c r="G1" s="22" t="inlineStr">
        <is>
          <t>PRA</t>
        </is>
      </c>
    </row>
    <row r="2">
      <c r="A2" s="0">
        <f>IFERROR(QUERY('Box Scores'!A2:K,"select D,count(D),sum(G),sum(H),sum(I),sum(J),sum(K) where F = TRUE and B = '"&amp;IF('App Config'!B2,"Brad Plays","Brad Out")&amp;"' group by D order by sum(K) desc label D 'Player',count(D) 'Games',sum(G) 'Points',sum(H) 'Rebounds',sum(I) 'Assists',sum(J) 'Three Pointers',sum(K) 'PRA'",0),"")</f>
        <v/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style="19" min="1" max="1"/>
    <col width="22" customWidth="1" style="19" min="2" max="2"/>
    <col width="13" customWidth="1" style="19" min="3" max="3"/>
    <col width="22" customWidth="1" style="19" min="4" max="4"/>
    <col width="16" customWidth="1" style="19" min="5" max="5"/>
    <col width="11" customWidth="1" style="19" min="6" max="6"/>
    <col width="42" customWidth="1" style="19" min="7" max="7"/>
  </cols>
  <sheetData>
    <row r="1">
      <c r="A1" s="31" t="inlineStr">
        <is>
          <t>Game ID</t>
        </is>
      </c>
      <c r="B1" s="31" t="inlineStr">
        <is>
          <t>Roster Configuration</t>
        </is>
      </c>
      <c r="C1" s="31" t="inlineStr">
        <is>
          <t>Team ID</t>
        </is>
      </c>
      <c r="D1" s="31" t="inlineStr">
        <is>
          <t>Player</t>
        </is>
      </c>
      <c r="E1" s="31" t="inlineStr">
        <is>
          <t>Rotation Share</t>
        </is>
      </c>
      <c r="F1" s="31" t="inlineStr">
        <is>
          <t>Active?</t>
        </is>
      </c>
      <c r="G1" s="3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2026-07-13T00:57:22Z</dcterms:created>
  <dcterms:modified xsi:type="dcterms:W3CDTF">2026-07-16T10:31:42Z</dcterms:modified>
</cp:coreProperties>
</file>